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roducts" sheetId="2" state="visible" r:id="rId4"/>
    <sheet name="Sales Data" sheetId="3" state="visible" r:id="rId5"/>
    <sheet name="Daily Totals" sheetId="4" state="visible" r:id="rId6"/>
    <sheet name="Analysis" sheetId="5" state="visible" r:id="rId7"/>
  </sheets>
  <definedNames>
    <definedName function="false" hidden="true" localSheetId="2" name="_xlnm._FilterDatabase" vbProcedure="false">'Sales Data'!$A$1:$H$712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<sst xmlns="http://schemas.openxmlformats.org/spreadsheetml/2006/main" count="817" uniqueCount="74">
  <si>
    <t xml:space="preserve">Starbucks-Style Sales Data Analysis</t>
  </si>
  <si>
    <t xml:space="preserve">Practice project | Microsoft Excel | Data Analysis</t>
  </si>
  <si>
    <t xml:space="preserve">IMPORTANT: this workbook uses SAMPLE (simulated) data created for practice. It is not real Starbucks sales data.</t>
  </si>
  <si>
    <t xml:space="preserve">Objective</t>
  </si>
  <si>
    <t xml:space="preserve">Examine revenue and product sales for a coffee shop in Michigan over a 3-month period (Aug-Oct 2025), find sales patterns, and estimate daily sales for products such as the Cappuccino and the Pumpkin Spice Latte.</t>
  </si>
  <si>
    <t xml:space="preserve">Key Findings (calculated live from the Analysis sheet)</t>
  </si>
  <si>
    <t xml:space="preserve">Total revenue</t>
  </si>
  <si>
    <t xml:space="preserve">Total units sold</t>
  </si>
  <si>
    <t xml:space="preserve">Top product by revenue</t>
  </si>
  <si>
    <t xml:space="preserve">Top product's share of revenue</t>
  </si>
  <si>
    <t xml:space="preserve">Busiest day of the week (avg revenue)</t>
  </si>
  <si>
    <t xml:space="preserve">Slowest day of the week (avg revenue)</t>
  </si>
  <si>
    <t xml:space="preserve">Pumpkin Spice Latte: avg daily units</t>
  </si>
  <si>
    <t xml:space="preserve">Pumpkin Spice Latte: est. daily sales</t>
  </si>
  <si>
    <t xml:space="preserve">Cappuccino: avg daily units</t>
  </si>
  <si>
    <t xml:space="preserve">Cappuccino: est. daily sales</t>
  </si>
  <si>
    <t xml:space="preserve">Method</t>
  </si>
  <si>
    <t xml:space="preserve">1. Built a daily sales table (Sales Data): one row per product per day, with date, units sold, unit price, and revenue.</t>
  </si>
  <si>
    <t xml:space="preserve">2. Used SUMIFS, COUNTIFS, AVERAGEIFS and INDEX/MATCH formulas to summarize by product, day of week, and month.</t>
  </si>
  <si>
    <t xml:space="preserve">3. Estimated daily sales per product as average daily units x unit price.</t>
  </si>
  <si>
    <t xml:space="preserve">4. Built charts to show revenue by product, weekday patterns, and the daily revenue trend.</t>
  </si>
  <si>
    <t xml:space="preserve">Assumptions</t>
  </si>
  <si>
    <t xml:space="preserve">Data is simulated with a fixed random seed: weekends sell more, cold drinks decline as weather cools, and the Pumpkin Spice Latte launches on 2025-08-26 and ramps up.</t>
  </si>
  <si>
    <t xml:space="preserve">Unit prices are approximate and set on the Products sheet (blue cells). Change a price or a units value (blue) and every summary updates.</t>
  </si>
  <si>
    <t xml:space="preserve">To use real data, replace the Units Sold column in Sales Data with your own numbers.</t>
  </si>
  <si>
    <t xml:space="preserve">Product</t>
  </si>
  <si>
    <t xml:space="preserve">Category</t>
  </si>
  <si>
    <t xml:space="preserve">Unit Price ($)</t>
  </si>
  <si>
    <t xml:space="preserve">Caffe Latte</t>
  </si>
  <si>
    <t xml:space="preserve">Hot Espresso</t>
  </si>
  <si>
    <t xml:space="preserve">Cappuccino</t>
  </si>
  <si>
    <t xml:space="preserve">Caramel Macchiato</t>
  </si>
  <si>
    <t xml:space="preserve">Americano</t>
  </si>
  <si>
    <t xml:space="preserve">Mocha</t>
  </si>
  <si>
    <t xml:space="preserve">Pumpkin Spice Latte</t>
  </si>
  <si>
    <t xml:space="preserve">Seasonal</t>
  </si>
  <si>
    <t xml:space="preserve">Iced Coffee</t>
  </si>
  <si>
    <t xml:space="preserve">Cold Drinks</t>
  </si>
  <si>
    <t xml:space="preserve">Cold Brew</t>
  </si>
  <si>
    <t xml:space="preserve">Blue cells are assumed inputs. Prices are approximate menu prices chosen for this practice project, not official Starbucks data.</t>
  </si>
  <si>
    <t xml:space="preserve">Date</t>
  </si>
  <si>
    <t xml:space="preserve">Day</t>
  </si>
  <si>
    <t xml:space="preserve">Month</t>
  </si>
  <si>
    <t xml:space="preserve">Units Sold</t>
  </si>
  <si>
    <t xml:space="preserve">Revenue ($)</t>
  </si>
  <si>
    <t xml:space="preserve">Total Revenue ($)</t>
  </si>
  <si>
    <t xml:space="preserve">Total Units</t>
  </si>
  <si>
    <t xml:space="preserve">Sales Analysis</t>
  </si>
  <si>
    <t xml:space="preserve">1. Product Performance</t>
  </si>
  <si>
    <t xml:space="preserve">% of Revenue</t>
  </si>
  <si>
    <t xml:space="preserve">Avg Daily Units</t>
  </si>
  <si>
    <t xml:space="preserve">Est. Daily Sales ($)</t>
  </si>
  <si>
    <t xml:space="preserve">Total</t>
  </si>
  <si>
    <t xml:space="preserve">Avg Daily Units = total units / number of days the product was sold. Est. Daily Sales = Avg Daily Units x unit price.</t>
  </si>
  <si>
    <t xml:space="preserve">2. Revenue by Day of Week</t>
  </si>
  <si>
    <t xml:space="preserve">Avg Daily Revenue ($)</t>
  </si>
  <si>
    <t xml:space="preserve">Number of Days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</si>
  <si>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</si>
  <si>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</si>
  <si>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</si>
  <si>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</si>
  <si>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</si>
  <si>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</si>
  <si>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</si>
  <si>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3. Revenue by Month</t>
  </si>
  <si>
    <t xml:space="preserve">Days</t>
  </si>
  <si>
    <t xml:space="preserve">Aug</t>
  </si>
  <si>
    <t xml:space="preserve">Sep</t>
  </si>
  <si>
    <t xml:space="preserve">Oct</t>
  </si>
  <si>
    <t xml:space="preserve">4. Pumpkin Spice Latte vs Cappuccino</t>
  </si>
  <si>
    <t xml:space="preserve">Metric</t>
  </si>
  <si>
    <t xml:space="preserve">Total revenue ($)</t>
  </si>
  <si>
    <t xml:space="preserve">Avg daily units</t>
  </si>
  <si>
    <t xml:space="preserve">Est. daily sales ($)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</si>
</sst>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#,##0"/>
    <numFmt numFmtId="167" formatCode="@"/>
    <numFmt numFmtId="168" formatCode="0.0%"/>
    <numFmt numFmtId="169" formatCode="#,##0.0"/>
    <numFmt numFmtId="170" formatCode="\$#,##0.00"/>
    <numFmt numFmtId="171" formatCode="yyyy\-mm\-dd"/>
    <numFmt numFmtId="172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2E7D6E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4CE"/>
        <bgColor rgb="FFFFFFFF"/>
      </patternFill>
    </fill>
    <fill>
      <patternFill patternType="solid">
        <fgColor rgb="FF5FB3A1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5FB3A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4C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5FB3A1"/>
      <rgbColor rgb="FF99CC00"/>
      <rgbColor rgb="FFFFCC00"/>
      <rgbColor rgb="FFFF9900"/>
      <rgbColor rgb="FFFF6600"/>
      <rgbColor rgb="FF666666"/>
      <rgbColor rgb="FF969696"/>
      <rgbColor rgb="FF003366"/>
      <rgbColor rgb="FF2E7D6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Analysis!D4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5fb3a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Analysis!$A$5:$A$12</c:f>
              <c:strCache>
                <c:ptCount val="8"/>
                <c:pt idx="0">
                  <c:v>Caffe Latte</c:v>
                </c:pt>
                <c:pt idx="1">
                  <c:v>Cappuccino</c:v>
                </c:pt>
                <c:pt idx="2">
                  <c:v>Caramel Macchiato</c:v>
                </c:pt>
                <c:pt idx="3">
                  <c:v>Americano</c:v>
                </c:pt>
                <c:pt idx="4">
                  <c:v>Mocha</c:v>
                </c:pt>
                <c:pt idx="5">
                  <c:v>Pumpkin Spice Latte</c:v>
                </c:pt>
                <c:pt idx="6">
                  <c:v>Iced Coffee</c:v>
                </c:pt>
                <c:pt idx="7">
                  <c:v>Cold Brew</c:v>
                </c:pt>
              </c:strCache>
            </c:strRef>
          </c:cat>
          <c:val>
            <c:numRef>
              <c:f>Analysis!$D$5:$D$12</c:f>
              <c:numCache>
                <c:formatCode>\$#,##0</c:formatCode>
                <c:ptCount val="8"/>
                <c:pt idx="0">
                  <c:v>31031.55</c:v>
                </c:pt>
                <c:pt idx="1">
                  <c:v>21949.75</c:v>
                </c:pt>
                <c:pt idx="2">
                  <c:v>22644.75</c:v>
                </c:pt>
                <c:pt idx="3">
                  <c:v>10635</c:v>
                </c:pt>
                <c:pt idx="4">
                  <c:v>17319.75</c:v>
                </c:pt>
                <c:pt idx="5">
                  <c:v>28686.75</c:v>
                </c:pt>
                <c:pt idx="6">
                  <c:v>21061.4</c:v>
                </c:pt>
                <c:pt idx="7">
                  <c:v>18436.35</c:v>
                </c:pt>
              </c:numCache>
            </c:numRef>
          </c:val>
        </c:ser>
        <c:gapWidth val="150"/>
        <c:overlap val="0"/>
        <c:axId val="28443904"/>
        <c:axId val="11321875"/>
      </c:barChart>
      <c:catAx>
        <c:axId val="2844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321875"/>
        <c:crosses val="autoZero"/>
        <c:auto val="1"/>
        <c:lblAlgn val="ctr"/>
        <c:lblOffset val="100"/>
        <c:noMultiLvlLbl val="0"/>
      </c:catAx>
      <c:valAx>
        <c:axId val="113218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4439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Daily Revenue by Day of Week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Analysis!B18</c:f>
              <c:strCache>
                <c:ptCount val="1"/>
                <c:pt idx="0">
                  <c:v>Avg Daily Revenue ($)</c:v>
                </c:pt>
              </c:strCache>
            </c:strRef>
          </c:tx>
          <c:spPr>
            <a:solidFill>
              <a:srgbClr val="2e7d6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Analysis!$A$19:$A$25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Analysis!$B$19:$B$25</c:f>
              <c:numCache>
                <c:formatCode>\$#,##0</c:formatCode>
                <c:ptCount val="7"/>
                <c:pt idx="0">
                  <c:v>1789.75769230769</c:v>
                </c:pt>
                <c:pt idx="1">
                  <c:v>1778.68846153846</c:v>
                </c:pt>
                <c:pt idx="2">
                  <c:v>1803.68076923077</c:v>
                </c:pt>
                <c:pt idx="3">
                  <c:v>1806.54230769231</c:v>
                </c:pt>
                <c:pt idx="4">
                  <c:v>1797.78214285714</c:v>
                </c:pt>
                <c:pt idx="5">
                  <c:v>2130.99615384615</c:v>
                </c:pt>
                <c:pt idx="6">
                  <c:v>1966.97692307692</c:v>
                </c:pt>
              </c:numCache>
            </c:numRef>
          </c:val>
        </c:ser>
        <c:gapWidth val="150"/>
        <c:overlap val="0"/>
        <c:axId val="5087170"/>
        <c:axId val="1908052"/>
      </c:barChart>
      <c:catAx>
        <c:axId val="50871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8052"/>
        <c:crosses val="autoZero"/>
        <c:auto val="1"/>
        <c:lblAlgn val="ctr"/>
        <c:lblOffset val="100"/>
        <c:noMultiLvlLbl val="0"/>
      </c:catAx>
      <c:valAx>
        <c:axId val="19080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871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Total Revenue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Totals'!C1</c:f>
              <c:strCache>
                <c:ptCount val="1"/>
                <c:pt idx="0">
                  <c:v>Total Revenue ($)</c:v>
                </c:pt>
              </c:strCache>
            </c:strRef>
          </c:tx>
          <c:spPr>
            <a:solidFill>
              <a:srgbClr val="5fb3a1"/>
            </a:solidFill>
            <a:ln w="28440">
              <a:solidFill>
                <a:srgbClr val="5fb3a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Totals'!$A$2:$A$93</c:f>
              <c:strCache>
                <c:ptCount val="92"/>
                <c:pt idx="0">
                  <c:v>2025-08-01</c:v>
                </c:pt>
                <c:pt idx="1">
                  <c:v>2025-08-02</c:v>
                </c:pt>
                <c:pt idx="2">
                  <c:v>2025-08-03</c:v>
                </c:pt>
                <c:pt idx="3">
                  <c:v>2025-08-04</c:v>
                </c:pt>
                <c:pt idx="4">
                  <c:v>2025-08-05</c:v>
                </c:pt>
                <c:pt idx="5">
                  <c:v>2025-08-06</c:v>
                </c:pt>
                <c:pt idx="6">
                  <c:v>2025-08-07</c:v>
                </c:pt>
                <c:pt idx="7">
                  <c:v>2025-08-08</c:v>
                </c:pt>
                <c:pt idx="8">
                  <c:v>2025-08-09</c:v>
                </c:pt>
                <c:pt idx="9">
                  <c:v>2025-08-10</c:v>
                </c:pt>
                <c:pt idx="10">
                  <c:v>2025-08-11</c:v>
                </c:pt>
                <c:pt idx="11">
                  <c:v>2025-08-12</c:v>
                </c:pt>
                <c:pt idx="12">
                  <c:v>2025-08-13</c:v>
                </c:pt>
                <c:pt idx="13">
                  <c:v>2025-08-14</c:v>
                </c:pt>
                <c:pt idx="14">
                  <c:v>2025-08-15</c:v>
                </c:pt>
                <c:pt idx="15">
                  <c:v>2025-08-16</c:v>
                </c:pt>
                <c:pt idx="16">
                  <c:v>2025-08-17</c:v>
                </c:pt>
                <c:pt idx="17">
                  <c:v>2025-08-18</c:v>
                </c:pt>
                <c:pt idx="18">
                  <c:v>2025-08-19</c:v>
                </c:pt>
                <c:pt idx="19">
                  <c:v>2025-08-20</c:v>
                </c:pt>
                <c:pt idx="20">
                  <c:v>2025-08-21</c:v>
                </c:pt>
                <c:pt idx="21">
                  <c:v>2025-08-22</c:v>
                </c:pt>
                <c:pt idx="22">
                  <c:v>2025-08-23</c:v>
                </c:pt>
                <c:pt idx="23">
                  <c:v>2025-08-24</c:v>
                </c:pt>
                <c:pt idx="24">
                  <c:v>2025-08-25</c:v>
                </c:pt>
                <c:pt idx="25">
                  <c:v>2025-08-26</c:v>
                </c:pt>
                <c:pt idx="26">
                  <c:v>2025-08-27</c:v>
                </c:pt>
                <c:pt idx="27">
                  <c:v>2025-08-28</c:v>
                </c:pt>
                <c:pt idx="28">
                  <c:v>2025-08-29</c:v>
                </c:pt>
                <c:pt idx="29">
                  <c:v>2025-08-30</c:v>
                </c:pt>
                <c:pt idx="30">
                  <c:v>2025-08-31</c:v>
                </c:pt>
                <c:pt idx="31">
                  <c:v>2025-09-01</c:v>
                </c:pt>
                <c:pt idx="32">
                  <c:v>2025-09-02</c:v>
                </c:pt>
                <c:pt idx="33">
                  <c:v>2025-09-03</c:v>
                </c:pt>
                <c:pt idx="34">
                  <c:v>2025-09-04</c:v>
                </c:pt>
                <c:pt idx="35">
                  <c:v>2025-09-05</c:v>
                </c:pt>
                <c:pt idx="36">
                  <c:v>2025-09-06</c:v>
                </c:pt>
                <c:pt idx="37">
                  <c:v>2025-09-07</c:v>
                </c:pt>
                <c:pt idx="38">
                  <c:v>2025-09-08</c:v>
                </c:pt>
                <c:pt idx="39">
                  <c:v>2025-09-09</c:v>
                </c:pt>
                <c:pt idx="40">
                  <c:v>2025-09-10</c:v>
                </c:pt>
                <c:pt idx="41">
                  <c:v>2025-09-11</c:v>
                </c:pt>
                <c:pt idx="42">
                  <c:v>2025-09-12</c:v>
                </c:pt>
                <c:pt idx="43">
                  <c:v>2025-09-13</c:v>
                </c:pt>
                <c:pt idx="44">
                  <c:v>2025-09-14</c:v>
                </c:pt>
                <c:pt idx="45">
                  <c:v>2025-09-15</c:v>
                </c:pt>
                <c:pt idx="46">
                  <c:v>2025-09-16</c:v>
                </c:pt>
                <c:pt idx="47">
                  <c:v>2025-09-17</c:v>
                </c:pt>
                <c:pt idx="48">
                  <c:v>2025-09-18</c:v>
                </c:pt>
                <c:pt idx="49">
                  <c:v>2025-09-19</c:v>
                </c:pt>
                <c:pt idx="50">
                  <c:v>2025-09-20</c:v>
                </c:pt>
                <c:pt idx="51">
                  <c:v>2025-09-21</c:v>
                </c:pt>
                <c:pt idx="52">
                  <c:v>2025-09-22</c:v>
                </c:pt>
                <c:pt idx="53">
                  <c:v>2025-09-23</c:v>
                </c:pt>
                <c:pt idx="54">
                  <c:v>2025-09-24</c:v>
                </c:pt>
                <c:pt idx="55">
                  <c:v>2025-09-25</c:v>
                </c:pt>
                <c:pt idx="56">
                  <c:v>2025-09-26</c:v>
                </c:pt>
                <c:pt idx="57">
                  <c:v>2025-09-27</c:v>
                </c:pt>
                <c:pt idx="58">
                  <c:v>2025-09-28</c:v>
                </c:pt>
                <c:pt idx="59">
                  <c:v>2025-09-29</c:v>
                </c:pt>
                <c:pt idx="60">
                  <c:v>2025-09-30</c:v>
                </c:pt>
                <c:pt idx="61">
                  <c:v>2025-10-01</c:v>
                </c:pt>
                <c:pt idx="62">
                  <c:v>2025-10-02</c:v>
                </c:pt>
                <c:pt idx="63">
                  <c:v>2025-10-03</c:v>
                </c:pt>
                <c:pt idx="64">
                  <c:v>2025-10-04</c:v>
                </c:pt>
                <c:pt idx="65">
                  <c:v>2025-10-05</c:v>
                </c:pt>
                <c:pt idx="66">
                  <c:v>2025-10-06</c:v>
                </c:pt>
                <c:pt idx="67">
                  <c:v>2025-10-07</c:v>
                </c:pt>
                <c:pt idx="68">
                  <c:v>2025-10-08</c:v>
                </c:pt>
                <c:pt idx="69">
                  <c:v>2025-10-09</c:v>
                </c:pt>
                <c:pt idx="70">
                  <c:v>2025-10-10</c:v>
                </c:pt>
                <c:pt idx="71">
                  <c:v>2025-10-11</c:v>
                </c:pt>
                <c:pt idx="72">
                  <c:v>2025-10-12</c:v>
                </c:pt>
                <c:pt idx="73">
                  <c:v>2025-10-13</c:v>
                </c:pt>
                <c:pt idx="74">
                  <c:v>2025-10-14</c:v>
                </c:pt>
                <c:pt idx="75">
                  <c:v>2025-10-15</c:v>
                </c:pt>
                <c:pt idx="76">
                  <c:v>2025-10-16</c:v>
                </c:pt>
                <c:pt idx="77">
                  <c:v>2025-10-17</c:v>
                </c:pt>
                <c:pt idx="78">
                  <c:v>2025-10-18</c:v>
                </c:pt>
                <c:pt idx="79">
                  <c:v>2025-10-19</c:v>
                </c:pt>
                <c:pt idx="80">
                  <c:v>2025-10-20</c:v>
                </c:pt>
                <c:pt idx="81">
                  <c:v>2025-10-21</c:v>
                </c:pt>
                <c:pt idx="82">
                  <c:v>2025-10-22</c:v>
                </c:pt>
                <c:pt idx="83">
                  <c:v>2025-10-23</c:v>
                </c:pt>
                <c:pt idx="84">
                  <c:v>2025-10-24</c:v>
                </c:pt>
                <c:pt idx="85">
                  <c:v>2025-10-25</c:v>
                </c:pt>
                <c:pt idx="86">
                  <c:v>2025-10-26</c:v>
                </c:pt>
                <c:pt idx="87">
                  <c:v>2025-10-27</c:v>
                </c:pt>
                <c:pt idx="88">
                  <c:v>2025-10-28</c:v>
                </c:pt>
                <c:pt idx="89">
                  <c:v>2025-10-29</c:v>
                </c:pt>
                <c:pt idx="90">
                  <c:v>2025-10-30</c:v>
                </c:pt>
                <c:pt idx="91">
                  <c:v>2025-10-31</c:v>
                </c:pt>
              </c:strCache>
            </c:strRef>
          </c:cat>
          <c:val>
            <c:numRef>
              <c:f>'Daily Totals'!$C$2:$C$93</c:f>
              <c:numCache>
                <c:formatCode>\$#,##0</c:formatCode>
                <c:ptCount val="92"/>
                <c:pt idx="0">
                  <c:v>1471.4</c:v>
                </c:pt>
                <c:pt idx="1">
                  <c:v>1806.8</c:v>
                </c:pt>
                <c:pt idx="2">
                  <c:v>1641</c:v>
                </c:pt>
                <c:pt idx="3">
                  <c:v>1492.6</c:v>
                </c:pt>
                <c:pt idx="4">
                  <c:v>1433.15</c:v>
                </c:pt>
                <c:pt idx="5">
                  <c:v>1504.4</c:v>
                </c:pt>
                <c:pt idx="6">
                  <c:v>1546.9</c:v>
                </c:pt>
                <c:pt idx="7">
                  <c:v>1466.45</c:v>
                </c:pt>
                <c:pt idx="8">
                  <c:v>1832.95</c:v>
                </c:pt>
                <c:pt idx="9">
                  <c:v>1640.35</c:v>
                </c:pt>
                <c:pt idx="10">
                  <c:v>1553.7</c:v>
                </c:pt>
                <c:pt idx="11">
                  <c:v>1432.85</c:v>
                </c:pt>
                <c:pt idx="12">
                  <c:v>1545.85</c:v>
                </c:pt>
                <c:pt idx="13">
                  <c:v>1552</c:v>
                </c:pt>
                <c:pt idx="14">
                  <c:v>1537.55</c:v>
                </c:pt>
                <c:pt idx="15">
                  <c:v>1827.2</c:v>
                </c:pt>
                <c:pt idx="16">
                  <c:v>1675.65</c:v>
                </c:pt>
                <c:pt idx="17">
                  <c:v>1472.05</c:v>
                </c:pt>
                <c:pt idx="18">
                  <c:v>1605.3</c:v>
                </c:pt>
                <c:pt idx="19">
                  <c:v>1508.15</c:v>
                </c:pt>
                <c:pt idx="20">
                  <c:v>1457.35</c:v>
                </c:pt>
                <c:pt idx="21">
                  <c:v>1500.5</c:v>
                </c:pt>
                <c:pt idx="22">
                  <c:v>1836.85</c:v>
                </c:pt>
                <c:pt idx="23">
                  <c:v>1749.05</c:v>
                </c:pt>
                <c:pt idx="24">
                  <c:v>1518.2</c:v>
                </c:pt>
                <c:pt idx="25">
                  <c:v>1485.45</c:v>
                </c:pt>
                <c:pt idx="26">
                  <c:v>1536.65</c:v>
                </c:pt>
                <c:pt idx="27">
                  <c:v>1651.55</c:v>
                </c:pt>
                <c:pt idx="28">
                  <c:v>1632.8</c:v>
                </c:pt>
                <c:pt idx="29">
                  <c:v>2037.25</c:v>
                </c:pt>
                <c:pt idx="30">
                  <c:v>1803.85</c:v>
                </c:pt>
                <c:pt idx="31">
                  <c:v>1822.8</c:v>
                </c:pt>
                <c:pt idx="32">
                  <c:v>1743.35</c:v>
                </c:pt>
                <c:pt idx="33">
                  <c:v>1805.95</c:v>
                </c:pt>
                <c:pt idx="34">
                  <c:v>1970.6</c:v>
                </c:pt>
                <c:pt idx="35">
                  <c:v>1967.6</c:v>
                </c:pt>
                <c:pt idx="36">
                  <c:v>2197.45</c:v>
                </c:pt>
                <c:pt idx="37">
                  <c:v>2072.6</c:v>
                </c:pt>
                <c:pt idx="38">
                  <c:v>1851.2</c:v>
                </c:pt>
                <c:pt idx="39">
                  <c:v>1874.75</c:v>
                </c:pt>
                <c:pt idx="40">
                  <c:v>1951.85</c:v>
                </c:pt>
                <c:pt idx="41">
                  <c:v>1909.9</c:v>
                </c:pt>
                <c:pt idx="42">
                  <c:v>1877.25</c:v>
                </c:pt>
                <c:pt idx="43">
                  <c:v>2339.45</c:v>
                </c:pt>
                <c:pt idx="44">
                  <c:v>2155.7</c:v>
                </c:pt>
                <c:pt idx="45">
                  <c:v>1920.45</c:v>
                </c:pt>
                <c:pt idx="46">
                  <c:v>1922.25</c:v>
                </c:pt>
                <c:pt idx="47">
                  <c:v>1960.1</c:v>
                </c:pt>
                <c:pt idx="48">
                  <c:v>1886.45</c:v>
                </c:pt>
                <c:pt idx="49">
                  <c:v>1960.1</c:v>
                </c:pt>
                <c:pt idx="50">
                  <c:v>2249.9</c:v>
                </c:pt>
                <c:pt idx="51">
                  <c:v>2219.25</c:v>
                </c:pt>
                <c:pt idx="52">
                  <c:v>1886.2</c:v>
                </c:pt>
                <c:pt idx="53">
                  <c:v>1893.4</c:v>
                </c:pt>
                <c:pt idx="54">
                  <c:v>1886.05</c:v>
                </c:pt>
                <c:pt idx="55">
                  <c:v>1931.05</c:v>
                </c:pt>
                <c:pt idx="56">
                  <c:v>1947.55</c:v>
                </c:pt>
                <c:pt idx="57">
                  <c:v>2386.3</c:v>
                </c:pt>
                <c:pt idx="58">
                  <c:v>2035.4</c:v>
                </c:pt>
                <c:pt idx="59">
                  <c:v>1863.55</c:v>
                </c:pt>
                <c:pt idx="60">
                  <c:v>1974.55</c:v>
                </c:pt>
                <c:pt idx="61">
                  <c:v>1959.05</c:v>
                </c:pt>
                <c:pt idx="62">
                  <c:v>1908.55</c:v>
                </c:pt>
                <c:pt idx="63">
                  <c:v>1918.85</c:v>
                </c:pt>
                <c:pt idx="64">
                  <c:v>2279.95</c:v>
                </c:pt>
                <c:pt idx="65">
                  <c:v>2153.6</c:v>
                </c:pt>
                <c:pt idx="66">
                  <c:v>2058.25</c:v>
                </c:pt>
                <c:pt idx="67">
                  <c:v>1942.35</c:v>
                </c:pt>
                <c:pt idx="68">
                  <c:v>1896.3</c:v>
                </c:pt>
                <c:pt idx="69">
                  <c:v>1941.9</c:v>
                </c:pt>
                <c:pt idx="70">
                  <c:v>1942.6</c:v>
                </c:pt>
                <c:pt idx="71">
                  <c:v>2315</c:v>
                </c:pt>
                <c:pt idx="72">
                  <c:v>2270.75</c:v>
                </c:pt>
                <c:pt idx="73">
                  <c:v>1956.95</c:v>
                </c:pt>
                <c:pt idx="74">
                  <c:v>1883.55</c:v>
                </c:pt>
                <c:pt idx="75">
                  <c:v>1997.7</c:v>
                </c:pt>
                <c:pt idx="76">
                  <c:v>1937.95</c:v>
                </c:pt>
                <c:pt idx="77">
                  <c:v>2018.4</c:v>
                </c:pt>
                <c:pt idx="78">
                  <c:v>2284.55</c:v>
                </c:pt>
                <c:pt idx="79">
                  <c:v>2096.25</c:v>
                </c:pt>
                <c:pt idx="80">
                  <c:v>1927.25</c:v>
                </c:pt>
                <c:pt idx="81">
                  <c:v>1909.85</c:v>
                </c:pt>
                <c:pt idx="82">
                  <c:v>1983.15</c:v>
                </c:pt>
                <c:pt idx="83">
                  <c:v>1996.55</c:v>
                </c:pt>
                <c:pt idx="84">
                  <c:v>1970.65</c:v>
                </c:pt>
                <c:pt idx="85">
                  <c:v>2309.3</c:v>
                </c:pt>
                <c:pt idx="86">
                  <c:v>2057.25</c:v>
                </c:pt>
                <c:pt idx="87">
                  <c:v>1943.65</c:v>
                </c:pt>
                <c:pt idx="88">
                  <c:v>2022.15</c:v>
                </c:pt>
                <c:pt idx="89">
                  <c:v>1912.65</c:v>
                </c:pt>
                <c:pt idx="90">
                  <c:v>1794.3</c:v>
                </c:pt>
                <c:pt idx="91">
                  <c:v>1957.25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336733"/>
        <c:axId val="55467625"/>
      </c:lineChart>
      <c:catAx>
        <c:axId val="50336733"/>
        <c:scaling>
          <c:orientation val="minMax"/>
        </c:scaling>
        <c:delete val="0"/>
        <c:axPos val="b"/>
        <c:numFmt formatCode="mmm\ 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67625"/>
        <c:crosses val="autoZero"/>
        <c:auto val="1"/>
        <c:lblAlgn val="ctr"/>
        <c:lblOffset val="100"/>
        <c:noMultiLvlLbl val="0"/>
      </c:catAx>
      <c:valAx>
        <c:axId val="554676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3367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130680</xdr:rowOff>
    </xdr:from>
    <xdr:to>
      <xdr:col>17</xdr:col>
      <xdr:colOff>255960</xdr:colOff>
      <xdr:row>15</xdr:row>
      <xdr:rowOff>153000</xdr:rowOff>
    </xdr:to>
    <xdr:graphicFrame>
      <xdr:nvGraphicFramePr>
        <xdr:cNvPr id="0" name="Chart 1"/>
        <xdr:cNvGraphicFramePr/>
      </xdr:nvGraphicFramePr>
      <xdr:xfrm>
        <a:off x="991548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18</xdr:row>
      <xdr:rowOff>131040</xdr:rowOff>
    </xdr:from>
    <xdr:to>
      <xdr:col>17</xdr:col>
      <xdr:colOff>255960</xdr:colOff>
      <xdr:row>32</xdr:row>
      <xdr:rowOff>153000</xdr:rowOff>
    </xdr:to>
    <xdr:graphicFrame>
      <xdr:nvGraphicFramePr>
        <xdr:cNvPr id="1" name="Chart 2"/>
        <xdr:cNvGraphicFramePr/>
      </xdr:nvGraphicFramePr>
      <xdr:xfrm>
        <a:off x="9915480" y="4000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35</xdr:row>
      <xdr:rowOff>321480</xdr:rowOff>
    </xdr:from>
    <xdr:to>
      <xdr:col>17</xdr:col>
      <xdr:colOff>255960</xdr:colOff>
      <xdr:row>50</xdr:row>
      <xdr:rowOff>153000</xdr:rowOff>
    </xdr:to>
    <xdr:graphicFrame>
      <xdr:nvGraphicFramePr>
        <xdr:cNvPr id="2" name="Chart 3"/>
        <xdr:cNvGraphicFramePr/>
      </xdr:nvGraphicFramePr>
      <xdr:xfrm>
        <a:off x="9915480" y="7620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6"/>
    <col collapsed="false" customWidth="true" hidden="false" outlineLevel="0" max="4" min="3" style="0" width="2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/>
      <c r="C4" s="3"/>
      <c r="D4" s="3"/>
    </row>
    <row r="6" customFormat="false" ht="15" hidden="false" customHeight="false" outlineLevel="0" collapsed="false">
      <c r="A6" s="4" t="s">
        <v>3</v>
      </c>
    </row>
    <row r="7" customFormat="false" ht="48" hidden="false" customHeight="true" outlineLevel="0" collapsed="false">
      <c r="A7" s="5" t="s">
        <v>4</v>
      </c>
      <c r="B7" s="5"/>
      <c r="C7" s="5"/>
      <c r="D7" s="5"/>
    </row>
    <row r="9" customFormat="false" ht="15" hidden="false" customHeight="false" outlineLevel="0" collapsed="false">
      <c r="A9" s="4" t="s">
        <v>5</v>
      </c>
    </row>
    <row r="10" customFormat="false" ht="15" hidden="false" customHeight="false" outlineLevel="0" collapsed="false">
      <c r="A10" s="6" t="s">
        <v>6</v>
      </c>
      <c r="B10" s="7" t="n">
        <f aca="false">Analysis!D13</f>
        <v>171765.3</v>
      </c>
    </row>
    <row r="11" customFormat="false" ht="15" hidden="false" customHeight="false" outlineLevel="0" collapsed="false">
      <c r="A11" s="6" t="s">
        <v>7</v>
      </c>
      <c r="B11" s="8" t="n">
        <f aca="false">Analysis!C13</f>
        <v>35644</v>
      </c>
    </row>
    <row r="12" customFormat="false" ht="15" hidden="false" customHeight="false" outlineLevel="0" collapsed="false">
      <c r="A12" s="6" t="s">
        <v>8</v>
      </c>
      <c r="B12" s="9" t="str">
        <f aca="false">INDEX(Analysis!A5:A12,MATCH(MAX(Analysis!D5:D12),Analysis!D5:D12,0))</f>
        <v>Caffe Latte</v>
      </c>
    </row>
    <row r="13" customFormat="false" ht="15" hidden="false" customHeight="false" outlineLevel="0" collapsed="false">
      <c r="A13" s="6" t="s">
        <v>9</v>
      </c>
      <c r="B13" s="10" t="n">
        <f aca="false">MAX(Analysis!E5:E12)</f>
        <v>0.18066250866735</v>
      </c>
    </row>
    <row r="14" customFormat="false" ht="15" hidden="false" customHeight="false" outlineLevel="0" collapsed="false">
      <c r="A14" s="6" t="s">
        <v>10</v>
      </c>
      <c r="B14" s="9" t="str">
        <f aca="false">INDEX(Analysis!A19:A25,MATCH(MAX(Analysis!B19:B25),Analysis!B19:B25,0))</f>
        <v>Sat</v>
      </c>
    </row>
    <row r="15" customFormat="false" ht="15" hidden="false" customHeight="false" outlineLevel="0" collapsed="false">
      <c r="A15" s="6" t="s">
        <v>11</v>
      </c>
      <c r="B15" s="9" t="str">
        <f aca="false">INDEX(Analysis!A19:A25,MATCH(MIN(Analysis!B19:B25),Analysis!B19:B25,0))</f>
        <v>Tue</v>
      </c>
    </row>
    <row r="16" customFormat="false" ht="15" hidden="false" customHeight="false" outlineLevel="0" collapsed="false">
      <c r="A16" s="6" t="s">
        <v>12</v>
      </c>
      <c r="B16" s="11" t="n">
        <f aca="false">Analysis!F10</f>
        <v>74.4626865671642</v>
      </c>
    </row>
    <row r="17" customFormat="false" ht="15" hidden="false" customHeight="false" outlineLevel="0" collapsed="false">
      <c r="A17" s="6" t="s">
        <v>13</v>
      </c>
      <c r="B17" s="12" t="n">
        <f aca="false">Analysis!G10</f>
        <v>428.160447761194</v>
      </c>
    </row>
    <row r="18" customFormat="false" ht="15" hidden="false" customHeight="false" outlineLevel="0" collapsed="false">
      <c r="A18" s="6" t="s">
        <v>14</v>
      </c>
      <c r="B18" s="11" t="n">
        <f aca="false">Analysis!F6</f>
        <v>50.2282608695652</v>
      </c>
    </row>
    <row r="19" customFormat="false" ht="15" hidden="false" customHeight="false" outlineLevel="0" collapsed="false">
      <c r="A19" s="6" t="s">
        <v>15</v>
      </c>
      <c r="B19" s="12" t="n">
        <f aca="false">Analysis!G6</f>
        <v>238.584239130435</v>
      </c>
    </row>
    <row r="21" customFormat="false" ht="15" hidden="false" customHeight="false" outlineLevel="0" collapsed="false">
      <c r="A21" s="4" t="s">
        <v>16</v>
      </c>
    </row>
    <row r="22" customFormat="false" ht="27.75" hidden="false" customHeight="true" outlineLevel="0" collapsed="false">
      <c r="A22" s="5" t="s">
        <v>17</v>
      </c>
      <c r="B22" s="5"/>
      <c r="C22" s="5"/>
      <c r="D22" s="5"/>
    </row>
    <row r="23" customFormat="false" ht="27.75" hidden="false" customHeight="true" outlineLevel="0" collapsed="false">
      <c r="A23" s="5" t="s">
        <v>18</v>
      </c>
      <c r="B23" s="5"/>
      <c r="C23" s="5"/>
      <c r="D23" s="5"/>
    </row>
    <row r="24" customFormat="false" ht="27.75" hidden="false" customHeight="true" outlineLevel="0" collapsed="false">
      <c r="A24" s="5" t="s">
        <v>19</v>
      </c>
      <c r="B24" s="5"/>
      <c r="C24" s="5"/>
      <c r="D24" s="5"/>
    </row>
    <row r="25" customFormat="false" ht="27.75" hidden="false" customHeight="true" outlineLevel="0" collapsed="false">
      <c r="A25" s="5" t="s">
        <v>20</v>
      </c>
      <c r="B25" s="5"/>
      <c r="C25" s="5"/>
      <c r="D25" s="5"/>
    </row>
    <row r="27" customFormat="false" ht="15" hidden="false" customHeight="false" outlineLevel="0" collapsed="false">
      <c r="A27" s="4" t="s">
        <v>21</v>
      </c>
    </row>
    <row r="28" customFormat="false" ht="30" hidden="false" customHeight="true" outlineLevel="0" collapsed="false">
      <c r="A28" s="5" t="s">
        <v>22</v>
      </c>
      <c r="B28" s="5"/>
      <c r="C28" s="5"/>
      <c r="D28" s="5"/>
    </row>
    <row r="29" customFormat="false" ht="30" hidden="false" customHeight="true" outlineLevel="0" collapsed="false">
      <c r="A29" s="5" t="s">
        <v>23</v>
      </c>
      <c r="B29" s="5"/>
      <c r="C29" s="5"/>
      <c r="D29" s="5"/>
    </row>
    <row r="30" customFormat="false" ht="30" hidden="false" customHeight="true" outlineLevel="0" collapsed="false">
      <c r="A30" s="5" t="s">
        <v>24</v>
      </c>
      <c r="B30" s="5"/>
      <c r="C30" s="5"/>
      <c r="D30" s="5"/>
    </row>
  </sheetData>
  <mergeCells count="9">
    <mergeCell ref="A4:D4"/>
    <mergeCell ref="A7:D7"/>
    <mergeCell ref="A22:D22"/>
    <mergeCell ref="A23:D23"/>
    <mergeCell ref="A24:D24"/>
    <mergeCell ref="A25:D25"/>
    <mergeCell ref="A28:D28"/>
    <mergeCell ref="A29:D29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3" t="s">
        <v>25</v>
      </c>
      <c r="B1" s="13" t="s">
        <v>26</v>
      </c>
      <c r="C1" s="13" t="s">
        <v>27</v>
      </c>
    </row>
    <row r="2" customFormat="false" ht="15" hidden="false" customHeight="false" outlineLevel="0" collapsed="false">
      <c r="A2" s="6" t="s">
        <v>28</v>
      </c>
      <c r="B2" s="6" t="s">
        <v>29</v>
      </c>
      <c r="C2" s="14" t="n">
        <v>4.95</v>
      </c>
    </row>
    <row r="3" customFormat="false" ht="15" hidden="false" customHeight="false" outlineLevel="0" collapsed="false">
      <c r="A3" s="6" t="s">
        <v>30</v>
      </c>
      <c r="B3" s="6" t="s">
        <v>29</v>
      </c>
      <c r="C3" s="14" t="n">
        <v>4.75</v>
      </c>
    </row>
    <row r="4" customFormat="false" ht="15" hidden="false" customHeight="false" outlineLevel="0" collapsed="false">
      <c r="A4" s="6" t="s">
        <v>31</v>
      </c>
      <c r="B4" s="6" t="s">
        <v>29</v>
      </c>
      <c r="C4" s="14" t="n">
        <v>5.45</v>
      </c>
    </row>
    <row r="5" customFormat="false" ht="15" hidden="false" customHeight="false" outlineLevel="0" collapsed="false">
      <c r="A5" s="6" t="s">
        <v>32</v>
      </c>
      <c r="B5" s="6" t="s">
        <v>29</v>
      </c>
      <c r="C5" s="14" t="n">
        <v>3.75</v>
      </c>
    </row>
    <row r="6" customFormat="false" ht="15" hidden="false" customHeight="false" outlineLevel="0" collapsed="false">
      <c r="A6" s="6" t="s">
        <v>33</v>
      </c>
      <c r="B6" s="6" t="s">
        <v>29</v>
      </c>
      <c r="C6" s="14" t="n">
        <v>5.25</v>
      </c>
    </row>
    <row r="7" customFormat="false" ht="15" hidden="false" customHeight="false" outlineLevel="0" collapsed="false">
      <c r="A7" s="6" t="s">
        <v>34</v>
      </c>
      <c r="B7" s="6" t="s">
        <v>35</v>
      </c>
      <c r="C7" s="14" t="n">
        <v>5.75</v>
      </c>
    </row>
    <row r="8" customFormat="false" ht="15" hidden="false" customHeight="false" outlineLevel="0" collapsed="false">
      <c r="A8" s="6" t="s">
        <v>36</v>
      </c>
      <c r="B8" s="6" t="s">
        <v>37</v>
      </c>
      <c r="C8" s="14" t="n">
        <v>3.95</v>
      </c>
    </row>
    <row r="9" customFormat="false" ht="15" hidden="false" customHeight="false" outlineLevel="0" collapsed="false">
      <c r="A9" s="6" t="s">
        <v>38</v>
      </c>
      <c r="B9" s="6" t="s">
        <v>37</v>
      </c>
      <c r="C9" s="14" t="n">
        <v>4.45</v>
      </c>
    </row>
    <row r="11" customFormat="false" ht="15" hidden="false" customHeight="false" outlineLevel="0" collapsed="false">
      <c r="A11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3" t="s">
        <v>40</v>
      </c>
      <c r="B1" s="13" t="s">
        <v>41</v>
      </c>
      <c r="C1" s="13" t="s">
        <v>42</v>
      </c>
      <c r="D1" s="13" t="s">
        <v>25</v>
      </c>
      <c r="E1" s="13" t="s">
        <v>26</v>
      </c>
      <c r="F1" s="13" t="s">
        <v>27</v>
      </c>
      <c r="G1" s="13" t="s">
        <v>43</v>
      </c>
      <c r="H1" s="13" t="s">
        <v>44</v>
      </c>
    </row>
    <row r="2" customFormat="false" ht="15" hidden="false" customHeight="false" outlineLevel="0" collapsed="false">
      <c r="A2" s="15" t="n">
        <v>45870</v>
      </c>
      <c r="B2" s="16" t="str">
        <f aca="false">TEXT(A2,"ddd")</f>
        <v>Fri</v>
      </c>
      <c r="C2" s="16" t="str">
        <f aca="false">TEXT(A2,"mmm")</f>
        <v>Aug</v>
      </c>
      <c r="D2" s="16" t="s">
        <v>28</v>
      </c>
      <c r="E2" s="16" t="str">
        <f aca="false">INDEX(Products!$B$2:$B$9,MATCH(D2,Products!$A$2:$A$9,0))</f>
        <v>Hot Espresso</v>
      </c>
      <c r="F2" s="17" t="n">
        <f aca="false">INDEX(Products!$C$2:$C$9,MATCH(D2,Products!$A$2:$A$9,0))</f>
        <v>4.95</v>
      </c>
      <c r="G2" s="18" t="n">
        <v>55</v>
      </c>
      <c r="H2" s="17" t="n">
        <f aca="false">F2*G2</f>
        <v>272.25</v>
      </c>
    </row>
    <row r="3" customFormat="false" ht="15" hidden="false" customHeight="false" outlineLevel="0" collapsed="false">
      <c r="A3" s="15" t="n">
        <v>45870</v>
      </c>
      <c r="B3" s="16" t="str">
        <f aca="false">TEXT(A3,"ddd")</f>
        <v>Fri</v>
      </c>
      <c r="C3" s="16" t="str">
        <f aca="false">TEXT(A3,"mmm")</f>
        <v>Aug</v>
      </c>
      <c r="D3" s="16" t="s">
        <v>30</v>
      </c>
      <c r="E3" s="16" t="str">
        <f aca="false">INDEX(Products!$B$2:$B$9,MATCH(D3,Products!$A$2:$A$9,0))</f>
        <v>Hot Espresso</v>
      </c>
      <c r="F3" s="17" t="n">
        <f aca="false">INDEX(Products!$C$2:$C$9,MATCH(D3,Products!$A$2:$A$9,0))</f>
        <v>4.75</v>
      </c>
      <c r="G3" s="18" t="n">
        <v>47</v>
      </c>
      <c r="H3" s="17" t="n">
        <f aca="false">F3*G3</f>
        <v>223.25</v>
      </c>
    </row>
    <row r="4" customFormat="false" ht="15" hidden="false" customHeight="false" outlineLevel="0" collapsed="false">
      <c r="A4" s="15" t="n">
        <v>45870</v>
      </c>
      <c r="B4" s="16" t="str">
        <f aca="false">TEXT(A4,"ddd")</f>
        <v>Fri</v>
      </c>
      <c r="C4" s="16" t="str">
        <f aca="false">TEXT(A4,"mmm")</f>
        <v>Aug</v>
      </c>
      <c r="D4" s="16" t="s">
        <v>31</v>
      </c>
      <c r="E4" s="16" t="str">
        <f aca="false">INDEX(Products!$B$2:$B$9,MATCH(D4,Products!$A$2:$A$9,0))</f>
        <v>Hot Espresso</v>
      </c>
      <c r="F4" s="17" t="n">
        <f aca="false">INDEX(Products!$C$2:$C$9,MATCH(D4,Products!$A$2:$A$9,0))</f>
        <v>5.45</v>
      </c>
      <c r="G4" s="18" t="n">
        <v>37</v>
      </c>
      <c r="H4" s="17" t="n">
        <f aca="false">F4*G4</f>
        <v>201.65</v>
      </c>
    </row>
    <row r="5" customFormat="false" ht="15" hidden="false" customHeight="false" outlineLevel="0" collapsed="false">
      <c r="A5" s="15" t="n">
        <v>45870</v>
      </c>
      <c r="B5" s="16" t="str">
        <f aca="false">TEXT(A5,"ddd")</f>
        <v>Fri</v>
      </c>
      <c r="C5" s="16" t="str">
        <f aca="false">TEXT(A5,"mmm")</f>
        <v>Aug</v>
      </c>
      <c r="D5" s="16" t="s">
        <v>32</v>
      </c>
      <c r="E5" s="16" t="str">
        <f aca="false">INDEX(Products!$B$2:$B$9,MATCH(D5,Products!$A$2:$A$9,0))</f>
        <v>Hot Espresso</v>
      </c>
      <c r="F5" s="17" t="n">
        <f aca="false">INDEX(Products!$C$2:$C$9,MATCH(D5,Products!$A$2:$A$9,0))</f>
        <v>3.75</v>
      </c>
      <c r="G5" s="18" t="n">
        <v>32</v>
      </c>
      <c r="H5" s="17" t="n">
        <f aca="false">F5*G5</f>
        <v>120</v>
      </c>
    </row>
    <row r="6" customFormat="false" ht="15" hidden="false" customHeight="false" outlineLevel="0" collapsed="false">
      <c r="A6" s="15" t="n">
        <v>45870</v>
      </c>
      <c r="B6" s="16" t="str">
        <f aca="false">TEXT(A6,"ddd")</f>
        <v>Fri</v>
      </c>
      <c r="C6" s="16" t="str">
        <f aca="false">TEXT(A6,"mmm")</f>
        <v>Aug</v>
      </c>
      <c r="D6" s="16" t="s">
        <v>33</v>
      </c>
      <c r="E6" s="16" t="str">
        <f aca="false">INDEX(Products!$B$2:$B$9,MATCH(D6,Products!$A$2:$A$9,0))</f>
        <v>Hot Espresso</v>
      </c>
      <c r="F6" s="17" t="n">
        <f aca="false">INDEX(Products!$C$2:$C$9,MATCH(D6,Products!$A$2:$A$9,0))</f>
        <v>5.25</v>
      </c>
      <c r="G6" s="18" t="n">
        <v>29</v>
      </c>
      <c r="H6" s="17" t="n">
        <f aca="false">F6*G6</f>
        <v>152.25</v>
      </c>
    </row>
    <row r="7" customFormat="false" ht="15" hidden="false" customHeight="false" outlineLevel="0" collapsed="false">
      <c r="A7" s="15" t="n">
        <v>45870</v>
      </c>
      <c r="B7" s="16" t="str">
        <f aca="false">TEXT(A7,"ddd")</f>
        <v>Fri</v>
      </c>
      <c r="C7" s="16" t="str">
        <f aca="false">TEXT(A7,"mmm")</f>
        <v>Aug</v>
      </c>
      <c r="D7" s="16" t="s">
        <v>36</v>
      </c>
      <c r="E7" s="16" t="str">
        <f aca="false">INDEX(Products!$B$2:$B$9,MATCH(D7,Products!$A$2:$A$9,0))</f>
        <v>Cold Drinks</v>
      </c>
      <c r="F7" s="17" t="n">
        <f aca="false">INDEX(Products!$C$2:$C$9,MATCH(D7,Products!$A$2:$A$9,0))</f>
        <v>3.95</v>
      </c>
      <c r="G7" s="18" t="n">
        <v>64</v>
      </c>
      <c r="H7" s="17" t="n">
        <f aca="false">F7*G7</f>
        <v>252.8</v>
      </c>
    </row>
    <row r="8" customFormat="false" ht="15" hidden="false" customHeight="false" outlineLevel="0" collapsed="false">
      <c r="A8" s="15" t="n">
        <v>45870</v>
      </c>
      <c r="B8" s="16" t="str">
        <f aca="false">TEXT(A8,"ddd")</f>
        <v>Fri</v>
      </c>
      <c r="C8" s="16" t="str">
        <f aca="false">TEXT(A8,"mmm")</f>
        <v>Aug</v>
      </c>
      <c r="D8" s="16" t="s">
        <v>38</v>
      </c>
      <c r="E8" s="16" t="str">
        <f aca="false">INDEX(Products!$B$2:$B$9,MATCH(D8,Products!$A$2:$A$9,0))</f>
        <v>Cold Drinks</v>
      </c>
      <c r="F8" s="17" t="n">
        <f aca="false">INDEX(Products!$C$2:$C$9,MATCH(D8,Products!$A$2:$A$9,0))</f>
        <v>4.45</v>
      </c>
      <c r="G8" s="18" t="n">
        <v>56</v>
      </c>
      <c r="H8" s="17" t="n">
        <f aca="false">F8*G8</f>
        <v>249.2</v>
      </c>
    </row>
    <row r="9" customFormat="false" ht="15" hidden="false" customHeight="false" outlineLevel="0" collapsed="false">
      <c r="A9" s="15" t="n">
        <v>45871</v>
      </c>
      <c r="B9" s="16" t="str">
        <f aca="false">TEXT(A9,"ddd")</f>
        <v>Sat</v>
      </c>
      <c r="C9" s="16" t="str">
        <f aca="false">TEXT(A9,"mmm")</f>
        <v>Aug</v>
      </c>
      <c r="D9" s="16" t="s">
        <v>28</v>
      </c>
      <c r="E9" s="16" t="str">
        <f aca="false">INDEX(Products!$B$2:$B$9,MATCH(D9,Products!$A$2:$A$9,0))</f>
        <v>Hot Espresso</v>
      </c>
      <c r="F9" s="17" t="n">
        <f aca="false">INDEX(Products!$C$2:$C$9,MATCH(D9,Products!$A$2:$A$9,0))</f>
        <v>4.95</v>
      </c>
      <c r="G9" s="18" t="n">
        <v>65</v>
      </c>
      <c r="H9" s="17" t="n">
        <f aca="false">F9*G9</f>
        <v>321.75</v>
      </c>
    </row>
    <row r="10" customFormat="false" ht="15" hidden="false" customHeight="false" outlineLevel="0" collapsed="false">
      <c r="A10" s="15" t="n">
        <v>45871</v>
      </c>
      <c r="B10" s="16" t="str">
        <f aca="false">TEXT(A10,"ddd")</f>
        <v>Sat</v>
      </c>
      <c r="C10" s="16" t="str">
        <f aca="false">TEXT(A10,"mmm")</f>
        <v>Aug</v>
      </c>
      <c r="D10" s="16" t="s">
        <v>30</v>
      </c>
      <c r="E10" s="16" t="str">
        <f aca="false">INDEX(Products!$B$2:$B$9,MATCH(D10,Products!$A$2:$A$9,0))</f>
        <v>Hot Espresso</v>
      </c>
      <c r="F10" s="17" t="n">
        <f aca="false">INDEX(Products!$C$2:$C$9,MATCH(D10,Products!$A$2:$A$9,0))</f>
        <v>4.75</v>
      </c>
      <c r="G10" s="18" t="n">
        <v>56</v>
      </c>
      <c r="H10" s="17" t="n">
        <f aca="false">F10*G10</f>
        <v>266</v>
      </c>
    </row>
    <row r="11" customFormat="false" ht="15" hidden="false" customHeight="false" outlineLevel="0" collapsed="false">
      <c r="A11" s="15" t="n">
        <v>45871</v>
      </c>
      <c r="B11" s="16" t="str">
        <f aca="false">TEXT(A11,"ddd")</f>
        <v>Sat</v>
      </c>
      <c r="C11" s="16" t="str">
        <f aca="false">TEXT(A11,"mmm")</f>
        <v>Aug</v>
      </c>
      <c r="D11" s="16" t="s">
        <v>31</v>
      </c>
      <c r="E11" s="16" t="str">
        <f aca="false">INDEX(Products!$B$2:$B$9,MATCH(D11,Products!$A$2:$A$9,0))</f>
        <v>Hot Espresso</v>
      </c>
      <c r="F11" s="17" t="n">
        <f aca="false">INDEX(Products!$C$2:$C$9,MATCH(D11,Products!$A$2:$A$9,0))</f>
        <v>5.45</v>
      </c>
      <c r="G11" s="18" t="n">
        <v>44</v>
      </c>
      <c r="H11" s="17" t="n">
        <f aca="false">F11*G11</f>
        <v>239.8</v>
      </c>
    </row>
    <row r="12" customFormat="false" ht="15" hidden="false" customHeight="false" outlineLevel="0" collapsed="false">
      <c r="A12" s="15" t="n">
        <v>45871</v>
      </c>
      <c r="B12" s="16" t="str">
        <f aca="false">TEXT(A12,"ddd")</f>
        <v>Sat</v>
      </c>
      <c r="C12" s="16" t="str">
        <f aca="false">TEXT(A12,"mmm")</f>
        <v>Aug</v>
      </c>
      <c r="D12" s="16" t="s">
        <v>32</v>
      </c>
      <c r="E12" s="16" t="str">
        <f aca="false">INDEX(Products!$B$2:$B$9,MATCH(D12,Products!$A$2:$A$9,0))</f>
        <v>Hot Espresso</v>
      </c>
      <c r="F12" s="17" t="n">
        <f aca="false">INDEX(Products!$C$2:$C$9,MATCH(D12,Products!$A$2:$A$9,0))</f>
        <v>3.75</v>
      </c>
      <c r="G12" s="18" t="n">
        <v>36</v>
      </c>
      <c r="H12" s="17" t="n">
        <f aca="false">F12*G12</f>
        <v>135</v>
      </c>
    </row>
    <row r="13" customFormat="false" ht="15" hidden="false" customHeight="false" outlineLevel="0" collapsed="false">
      <c r="A13" s="15" t="n">
        <v>45871</v>
      </c>
      <c r="B13" s="16" t="str">
        <f aca="false">TEXT(A13,"ddd")</f>
        <v>Sat</v>
      </c>
      <c r="C13" s="16" t="str">
        <f aca="false">TEXT(A13,"mmm")</f>
        <v>Aug</v>
      </c>
      <c r="D13" s="16" t="s">
        <v>33</v>
      </c>
      <c r="E13" s="16" t="str">
        <f aca="false">INDEX(Products!$B$2:$B$9,MATCH(D13,Products!$A$2:$A$9,0))</f>
        <v>Hot Espresso</v>
      </c>
      <c r="F13" s="17" t="n">
        <f aca="false">INDEX(Products!$C$2:$C$9,MATCH(D13,Products!$A$2:$A$9,0))</f>
        <v>5.25</v>
      </c>
      <c r="G13" s="18" t="n">
        <v>38</v>
      </c>
      <c r="H13" s="17" t="n">
        <f aca="false">F13*G13</f>
        <v>199.5</v>
      </c>
    </row>
    <row r="14" customFormat="false" ht="15" hidden="false" customHeight="false" outlineLevel="0" collapsed="false">
      <c r="A14" s="15" t="n">
        <v>45871</v>
      </c>
      <c r="B14" s="16" t="str">
        <f aca="false">TEXT(A14,"ddd")</f>
        <v>Sat</v>
      </c>
      <c r="C14" s="16" t="str">
        <f aca="false">TEXT(A14,"mmm")</f>
        <v>Aug</v>
      </c>
      <c r="D14" s="16" t="s">
        <v>36</v>
      </c>
      <c r="E14" s="16" t="str">
        <f aca="false">INDEX(Products!$B$2:$B$9,MATCH(D14,Products!$A$2:$A$9,0))</f>
        <v>Cold Drinks</v>
      </c>
      <c r="F14" s="17" t="n">
        <f aca="false">INDEX(Products!$C$2:$C$9,MATCH(D14,Products!$A$2:$A$9,0))</f>
        <v>3.95</v>
      </c>
      <c r="G14" s="18" t="n">
        <v>90</v>
      </c>
      <c r="H14" s="17" t="n">
        <f aca="false">F14*G14</f>
        <v>355.5</v>
      </c>
    </row>
    <row r="15" customFormat="false" ht="15" hidden="false" customHeight="false" outlineLevel="0" collapsed="false">
      <c r="A15" s="15" t="n">
        <v>45871</v>
      </c>
      <c r="B15" s="16" t="str">
        <f aca="false">TEXT(A15,"ddd")</f>
        <v>Sat</v>
      </c>
      <c r="C15" s="16" t="str">
        <f aca="false">TEXT(A15,"mmm")</f>
        <v>Aug</v>
      </c>
      <c r="D15" s="16" t="s">
        <v>38</v>
      </c>
      <c r="E15" s="16" t="str">
        <f aca="false">INDEX(Products!$B$2:$B$9,MATCH(D15,Products!$A$2:$A$9,0))</f>
        <v>Cold Drinks</v>
      </c>
      <c r="F15" s="17" t="n">
        <f aca="false">INDEX(Products!$C$2:$C$9,MATCH(D15,Products!$A$2:$A$9,0))</f>
        <v>4.45</v>
      </c>
      <c r="G15" s="18" t="n">
        <v>65</v>
      </c>
      <c r="H15" s="17" t="n">
        <f aca="false">F15*G15</f>
        <v>289.25</v>
      </c>
    </row>
    <row r="16" customFormat="false" ht="15" hidden="false" customHeight="false" outlineLevel="0" collapsed="false">
      <c r="A16" s="15" t="n">
        <v>45872</v>
      </c>
      <c r="B16" s="16" t="str">
        <f aca="false">TEXT(A16,"ddd")</f>
        <v>Sun</v>
      </c>
      <c r="C16" s="16" t="str">
        <f aca="false">TEXT(A16,"mmm")</f>
        <v>Aug</v>
      </c>
      <c r="D16" s="16" t="s">
        <v>28</v>
      </c>
      <c r="E16" s="16" t="str">
        <f aca="false">INDEX(Products!$B$2:$B$9,MATCH(D16,Products!$A$2:$A$9,0))</f>
        <v>Hot Espresso</v>
      </c>
      <c r="F16" s="17" t="n">
        <f aca="false">INDEX(Products!$C$2:$C$9,MATCH(D16,Products!$A$2:$A$9,0))</f>
        <v>4.95</v>
      </c>
      <c r="G16" s="18" t="n">
        <v>58</v>
      </c>
      <c r="H16" s="17" t="n">
        <f aca="false">F16*G16</f>
        <v>287.1</v>
      </c>
    </row>
    <row r="17" customFormat="false" ht="15" hidden="false" customHeight="false" outlineLevel="0" collapsed="false">
      <c r="A17" s="15" t="n">
        <v>45872</v>
      </c>
      <c r="B17" s="16" t="str">
        <f aca="false">TEXT(A17,"ddd")</f>
        <v>Sun</v>
      </c>
      <c r="C17" s="16" t="str">
        <f aca="false">TEXT(A17,"mmm")</f>
        <v>Aug</v>
      </c>
      <c r="D17" s="16" t="s">
        <v>30</v>
      </c>
      <c r="E17" s="16" t="str">
        <f aca="false">INDEX(Products!$B$2:$B$9,MATCH(D17,Products!$A$2:$A$9,0))</f>
        <v>Hot Espresso</v>
      </c>
      <c r="F17" s="17" t="n">
        <f aca="false">INDEX(Products!$C$2:$C$9,MATCH(D17,Products!$A$2:$A$9,0))</f>
        <v>4.75</v>
      </c>
      <c r="G17" s="18" t="n">
        <v>49</v>
      </c>
      <c r="H17" s="17" t="n">
        <f aca="false">F17*G17</f>
        <v>232.75</v>
      </c>
    </row>
    <row r="18" customFormat="false" ht="15" hidden="false" customHeight="false" outlineLevel="0" collapsed="false">
      <c r="A18" s="15" t="n">
        <v>45872</v>
      </c>
      <c r="B18" s="16" t="str">
        <f aca="false">TEXT(A18,"ddd")</f>
        <v>Sun</v>
      </c>
      <c r="C18" s="16" t="str">
        <f aca="false">TEXT(A18,"mmm")</f>
        <v>Aug</v>
      </c>
      <c r="D18" s="16" t="s">
        <v>31</v>
      </c>
      <c r="E18" s="16" t="str">
        <f aca="false">INDEX(Products!$B$2:$B$9,MATCH(D18,Products!$A$2:$A$9,0))</f>
        <v>Hot Espresso</v>
      </c>
      <c r="F18" s="17" t="n">
        <f aca="false">INDEX(Products!$C$2:$C$9,MATCH(D18,Products!$A$2:$A$9,0))</f>
        <v>5.45</v>
      </c>
      <c r="G18" s="18" t="n">
        <v>42</v>
      </c>
      <c r="H18" s="17" t="n">
        <f aca="false">F18*G18</f>
        <v>228.9</v>
      </c>
    </row>
    <row r="19" customFormat="false" ht="15" hidden="false" customHeight="false" outlineLevel="0" collapsed="false">
      <c r="A19" s="15" t="n">
        <v>45872</v>
      </c>
      <c r="B19" s="16" t="str">
        <f aca="false">TEXT(A19,"ddd")</f>
        <v>Sun</v>
      </c>
      <c r="C19" s="16" t="str">
        <f aca="false">TEXT(A19,"mmm")</f>
        <v>Aug</v>
      </c>
      <c r="D19" s="16" t="s">
        <v>32</v>
      </c>
      <c r="E19" s="16" t="str">
        <f aca="false">INDEX(Products!$B$2:$B$9,MATCH(D19,Products!$A$2:$A$9,0))</f>
        <v>Hot Espresso</v>
      </c>
      <c r="F19" s="17" t="n">
        <f aca="false">INDEX(Products!$C$2:$C$9,MATCH(D19,Products!$A$2:$A$9,0))</f>
        <v>3.75</v>
      </c>
      <c r="G19" s="18" t="n">
        <v>36</v>
      </c>
      <c r="H19" s="17" t="n">
        <f aca="false">F19*G19</f>
        <v>135</v>
      </c>
    </row>
    <row r="20" customFormat="false" ht="15" hidden="false" customHeight="false" outlineLevel="0" collapsed="false">
      <c r="A20" s="15" t="n">
        <v>45872</v>
      </c>
      <c r="B20" s="16" t="str">
        <f aca="false">TEXT(A20,"ddd")</f>
        <v>Sun</v>
      </c>
      <c r="C20" s="16" t="str">
        <f aca="false">TEXT(A20,"mmm")</f>
        <v>Aug</v>
      </c>
      <c r="D20" s="16" t="s">
        <v>33</v>
      </c>
      <c r="E20" s="16" t="str">
        <f aca="false">INDEX(Products!$B$2:$B$9,MATCH(D20,Products!$A$2:$A$9,0))</f>
        <v>Hot Espresso</v>
      </c>
      <c r="F20" s="17" t="n">
        <f aca="false">INDEX(Products!$C$2:$C$9,MATCH(D20,Products!$A$2:$A$9,0))</f>
        <v>5.25</v>
      </c>
      <c r="G20" s="18" t="n">
        <v>33</v>
      </c>
      <c r="H20" s="17" t="n">
        <f aca="false">F20*G20</f>
        <v>173.25</v>
      </c>
    </row>
    <row r="21" customFormat="false" ht="15" hidden="false" customHeight="false" outlineLevel="0" collapsed="false">
      <c r="A21" s="15" t="n">
        <v>45872</v>
      </c>
      <c r="B21" s="16" t="str">
        <f aca="false">TEXT(A21,"ddd")</f>
        <v>Sun</v>
      </c>
      <c r="C21" s="16" t="str">
        <f aca="false">TEXT(A21,"mmm")</f>
        <v>Aug</v>
      </c>
      <c r="D21" s="16" t="s">
        <v>36</v>
      </c>
      <c r="E21" s="16" t="str">
        <f aca="false">INDEX(Products!$B$2:$B$9,MATCH(D21,Products!$A$2:$A$9,0))</f>
        <v>Cold Drinks</v>
      </c>
      <c r="F21" s="17" t="n">
        <f aca="false">INDEX(Products!$C$2:$C$9,MATCH(D21,Products!$A$2:$A$9,0))</f>
        <v>3.95</v>
      </c>
      <c r="G21" s="18" t="n">
        <v>78</v>
      </c>
      <c r="H21" s="17" t="n">
        <f aca="false">F21*G21</f>
        <v>308.1</v>
      </c>
    </row>
    <row r="22" customFormat="false" ht="15" hidden="false" customHeight="false" outlineLevel="0" collapsed="false">
      <c r="A22" s="15" t="n">
        <v>45872</v>
      </c>
      <c r="B22" s="16" t="str">
        <f aca="false">TEXT(A22,"ddd")</f>
        <v>Sun</v>
      </c>
      <c r="C22" s="16" t="str">
        <f aca="false">TEXT(A22,"mmm")</f>
        <v>Aug</v>
      </c>
      <c r="D22" s="16" t="s">
        <v>38</v>
      </c>
      <c r="E22" s="16" t="str">
        <f aca="false">INDEX(Products!$B$2:$B$9,MATCH(D22,Products!$A$2:$A$9,0))</f>
        <v>Cold Drinks</v>
      </c>
      <c r="F22" s="17" t="n">
        <f aca="false">INDEX(Products!$C$2:$C$9,MATCH(D22,Products!$A$2:$A$9,0))</f>
        <v>4.45</v>
      </c>
      <c r="G22" s="18" t="n">
        <v>62</v>
      </c>
      <c r="H22" s="17" t="n">
        <f aca="false">F22*G22</f>
        <v>275.9</v>
      </c>
    </row>
    <row r="23" customFormat="false" ht="15" hidden="false" customHeight="false" outlineLevel="0" collapsed="false">
      <c r="A23" s="15" t="n">
        <v>45873</v>
      </c>
      <c r="B23" s="16" t="str">
        <f aca="false">TEXT(A23,"ddd")</f>
        <v>Mon</v>
      </c>
      <c r="C23" s="16" t="str">
        <f aca="false">TEXT(A23,"mmm")</f>
        <v>Aug</v>
      </c>
      <c r="D23" s="16" t="s">
        <v>28</v>
      </c>
      <c r="E23" s="16" t="str">
        <f aca="false">INDEX(Products!$B$2:$B$9,MATCH(D23,Products!$A$2:$A$9,0))</f>
        <v>Hot Espresso</v>
      </c>
      <c r="F23" s="17" t="n">
        <f aca="false">INDEX(Products!$C$2:$C$9,MATCH(D23,Products!$A$2:$A$9,0))</f>
        <v>4.95</v>
      </c>
      <c r="G23" s="18" t="n">
        <v>50</v>
      </c>
      <c r="H23" s="17" t="n">
        <f aca="false">F23*G23</f>
        <v>247.5</v>
      </c>
    </row>
    <row r="24" customFormat="false" ht="15" hidden="false" customHeight="false" outlineLevel="0" collapsed="false">
      <c r="A24" s="15" t="n">
        <v>45873</v>
      </c>
      <c r="B24" s="16" t="str">
        <f aca="false">TEXT(A24,"ddd")</f>
        <v>Mon</v>
      </c>
      <c r="C24" s="16" t="str">
        <f aca="false">TEXT(A24,"mmm")</f>
        <v>Aug</v>
      </c>
      <c r="D24" s="16" t="s">
        <v>30</v>
      </c>
      <c r="E24" s="16" t="str">
        <f aca="false">INDEX(Products!$B$2:$B$9,MATCH(D24,Products!$A$2:$A$9,0))</f>
        <v>Hot Espresso</v>
      </c>
      <c r="F24" s="17" t="n">
        <f aca="false">INDEX(Products!$C$2:$C$9,MATCH(D24,Products!$A$2:$A$9,0))</f>
        <v>4.75</v>
      </c>
      <c r="G24" s="18" t="n">
        <v>47</v>
      </c>
      <c r="H24" s="17" t="n">
        <f aca="false">F24*G24</f>
        <v>223.25</v>
      </c>
    </row>
    <row r="25" customFormat="false" ht="15" hidden="false" customHeight="false" outlineLevel="0" collapsed="false">
      <c r="A25" s="15" t="n">
        <v>45873</v>
      </c>
      <c r="B25" s="16" t="str">
        <f aca="false">TEXT(A25,"ddd")</f>
        <v>Mon</v>
      </c>
      <c r="C25" s="16" t="str">
        <f aca="false">TEXT(A25,"mmm")</f>
        <v>Aug</v>
      </c>
      <c r="D25" s="16" t="s">
        <v>31</v>
      </c>
      <c r="E25" s="16" t="str">
        <f aca="false">INDEX(Products!$B$2:$B$9,MATCH(D25,Products!$A$2:$A$9,0))</f>
        <v>Hot Espresso</v>
      </c>
      <c r="F25" s="17" t="n">
        <f aca="false">INDEX(Products!$C$2:$C$9,MATCH(D25,Products!$A$2:$A$9,0))</f>
        <v>5.45</v>
      </c>
      <c r="G25" s="18" t="n">
        <v>39</v>
      </c>
      <c r="H25" s="17" t="n">
        <f aca="false">F25*G25</f>
        <v>212.55</v>
      </c>
    </row>
    <row r="26" customFormat="false" ht="15" hidden="false" customHeight="false" outlineLevel="0" collapsed="false">
      <c r="A26" s="15" t="n">
        <v>45873</v>
      </c>
      <c r="B26" s="16" t="str">
        <f aca="false">TEXT(A26,"ddd")</f>
        <v>Mon</v>
      </c>
      <c r="C26" s="16" t="str">
        <f aca="false">TEXT(A26,"mmm")</f>
        <v>Aug</v>
      </c>
      <c r="D26" s="16" t="s">
        <v>32</v>
      </c>
      <c r="E26" s="16" t="str">
        <f aca="false">INDEX(Products!$B$2:$B$9,MATCH(D26,Products!$A$2:$A$9,0))</f>
        <v>Hot Espresso</v>
      </c>
      <c r="F26" s="17" t="n">
        <f aca="false">INDEX(Products!$C$2:$C$9,MATCH(D26,Products!$A$2:$A$9,0))</f>
        <v>3.75</v>
      </c>
      <c r="G26" s="18" t="n">
        <v>32</v>
      </c>
      <c r="H26" s="17" t="n">
        <f aca="false">F26*G26</f>
        <v>120</v>
      </c>
    </row>
    <row r="27" customFormat="false" ht="15" hidden="false" customHeight="false" outlineLevel="0" collapsed="false">
      <c r="A27" s="15" t="n">
        <v>45873</v>
      </c>
      <c r="B27" s="16" t="str">
        <f aca="false">TEXT(A27,"ddd")</f>
        <v>Mon</v>
      </c>
      <c r="C27" s="16" t="str">
        <f aca="false">TEXT(A27,"mmm")</f>
        <v>Aug</v>
      </c>
      <c r="D27" s="16" t="s">
        <v>33</v>
      </c>
      <c r="E27" s="16" t="str">
        <f aca="false">INDEX(Products!$B$2:$B$9,MATCH(D27,Products!$A$2:$A$9,0))</f>
        <v>Hot Espresso</v>
      </c>
      <c r="F27" s="17" t="n">
        <f aca="false">INDEX(Products!$C$2:$C$9,MATCH(D27,Products!$A$2:$A$9,0))</f>
        <v>5.25</v>
      </c>
      <c r="G27" s="18" t="n">
        <v>29</v>
      </c>
      <c r="H27" s="17" t="n">
        <f aca="false">F27*G27</f>
        <v>152.25</v>
      </c>
    </row>
    <row r="28" customFormat="false" ht="15" hidden="false" customHeight="false" outlineLevel="0" collapsed="false">
      <c r="A28" s="15" t="n">
        <v>45873</v>
      </c>
      <c r="B28" s="16" t="str">
        <f aca="false">TEXT(A28,"ddd")</f>
        <v>Mon</v>
      </c>
      <c r="C28" s="16" t="str">
        <f aca="false">TEXT(A28,"mmm")</f>
        <v>Aug</v>
      </c>
      <c r="D28" s="16" t="s">
        <v>36</v>
      </c>
      <c r="E28" s="16" t="str">
        <f aca="false">INDEX(Products!$B$2:$B$9,MATCH(D28,Products!$A$2:$A$9,0))</f>
        <v>Cold Drinks</v>
      </c>
      <c r="F28" s="17" t="n">
        <f aca="false">INDEX(Products!$C$2:$C$9,MATCH(D28,Products!$A$2:$A$9,0))</f>
        <v>3.95</v>
      </c>
      <c r="G28" s="18" t="n">
        <v>74</v>
      </c>
      <c r="H28" s="17" t="n">
        <f aca="false">F28*G28</f>
        <v>292.3</v>
      </c>
    </row>
    <row r="29" customFormat="false" ht="15" hidden="false" customHeight="false" outlineLevel="0" collapsed="false">
      <c r="A29" s="15" t="n">
        <v>45873</v>
      </c>
      <c r="B29" s="16" t="str">
        <f aca="false">TEXT(A29,"ddd")</f>
        <v>Mon</v>
      </c>
      <c r="C29" s="16" t="str">
        <f aca="false">TEXT(A29,"mmm")</f>
        <v>Aug</v>
      </c>
      <c r="D29" s="16" t="s">
        <v>38</v>
      </c>
      <c r="E29" s="16" t="str">
        <f aca="false">INDEX(Products!$B$2:$B$9,MATCH(D29,Products!$A$2:$A$9,0))</f>
        <v>Cold Drinks</v>
      </c>
      <c r="F29" s="17" t="n">
        <f aca="false">INDEX(Products!$C$2:$C$9,MATCH(D29,Products!$A$2:$A$9,0))</f>
        <v>4.45</v>
      </c>
      <c r="G29" s="18" t="n">
        <v>55</v>
      </c>
      <c r="H29" s="17" t="n">
        <f aca="false">F29*G29</f>
        <v>244.75</v>
      </c>
    </row>
    <row r="30" customFormat="false" ht="15" hidden="false" customHeight="false" outlineLevel="0" collapsed="false">
      <c r="A30" s="15" t="n">
        <v>45874</v>
      </c>
      <c r="B30" s="16" t="str">
        <f aca="false">TEXT(A30,"ddd")</f>
        <v>Tue</v>
      </c>
      <c r="C30" s="16" t="str">
        <f aca="false">TEXT(A30,"mmm")</f>
        <v>Aug</v>
      </c>
      <c r="D30" s="16" t="s">
        <v>28</v>
      </c>
      <c r="E30" s="16" t="str">
        <f aca="false">INDEX(Products!$B$2:$B$9,MATCH(D30,Products!$A$2:$A$9,0))</f>
        <v>Hot Espresso</v>
      </c>
      <c r="F30" s="17" t="n">
        <f aca="false">INDEX(Products!$C$2:$C$9,MATCH(D30,Products!$A$2:$A$9,0))</f>
        <v>4.95</v>
      </c>
      <c r="G30" s="18" t="n">
        <v>60</v>
      </c>
      <c r="H30" s="17" t="n">
        <f aca="false">F30*G30</f>
        <v>297</v>
      </c>
    </row>
    <row r="31" customFormat="false" ht="15" hidden="false" customHeight="false" outlineLevel="0" collapsed="false">
      <c r="A31" s="15" t="n">
        <v>45874</v>
      </c>
      <c r="B31" s="16" t="str">
        <f aca="false">TEXT(A31,"ddd")</f>
        <v>Tue</v>
      </c>
      <c r="C31" s="16" t="str">
        <f aca="false">TEXT(A31,"mmm")</f>
        <v>Aug</v>
      </c>
      <c r="D31" s="16" t="s">
        <v>30</v>
      </c>
      <c r="E31" s="16" t="str">
        <f aca="false">INDEX(Products!$B$2:$B$9,MATCH(D31,Products!$A$2:$A$9,0))</f>
        <v>Hot Espresso</v>
      </c>
      <c r="F31" s="17" t="n">
        <f aca="false">INDEX(Products!$C$2:$C$9,MATCH(D31,Products!$A$2:$A$9,0))</f>
        <v>4.75</v>
      </c>
      <c r="G31" s="18" t="n">
        <v>44</v>
      </c>
      <c r="H31" s="17" t="n">
        <f aca="false">F31*G31</f>
        <v>209</v>
      </c>
    </row>
    <row r="32" customFormat="false" ht="15" hidden="false" customHeight="false" outlineLevel="0" collapsed="false">
      <c r="A32" s="15" t="n">
        <v>45874</v>
      </c>
      <c r="B32" s="16" t="str">
        <f aca="false">TEXT(A32,"ddd")</f>
        <v>Tue</v>
      </c>
      <c r="C32" s="16" t="str">
        <f aca="false">TEXT(A32,"mmm")</f>
        <v>Aug</v>
      </c>
      <c r="D32" s="16" t="s">
        <v>31</v>
      </c>
      <c r="E32" s="16" t="str">
        <f aca="false">INDEX(Products!$B$2:$B$9,MATCH(D32,Products!$A$2:$A$9,0))</f>
        <v>Hot Espresso</v>
      </c>
      <c r="F32" s="17" t="n">
        <f aca="false">INDEX(Products!$C$2:$C$9,MATCH(D32,Products!$A$2:$A$9,0))</f>
        <v>5.45</v>
      </c>
      <c r="G32" s="18" t="n">
        <v>39</v>
      </c>
      <c r="H32" s="17" t="n">
        <f aca="false">F32*G32</f>
        <v>212.55</v>
      </c>
    </row>
    <row r="33" customFormat="false" ht="15" hidden="false" customHeight="false" outlineLevel="0" collapsed="false">
      <c r="A33" s="15" t="n">
        <v>45874</v>
      </c>
      <c r="B33" s="16" t="str">
        <f aca="false">TEXT(A33,"ddd")</f>
        <v>Tue</v>
      </c>
      <c r="C33" s="16" t="str">
        <f aca="false">TEXT(A33,"mmm")</f>
        <v>Aug</v>
      </c>
      <c r="D33" s="16" t="s">
        <v>32</v>
      </c>
      <c r="E33" s="16" t="str">
        <f aca="false">INDEX(Products!$B$2:$B$9,MATCH(D33,Products!$A$2:$A$9,0))</f>
        <v>Hot Espresso</v>
      </c>
      <c r="F33" s="17" t="n">
        <f aca="false">INDEX(Products!$C$2:$C$9,MATCH(D33,Products!$A$2:$A$9,0))</f>
        <v>3.75</v>
      </c>
      <c r="G33" s="18" t="n">
        <v>26</v>
      </c>
      <c r="H33" s="17" t="n">
        <f aca="false">F33*G33</f>
        <v>97.5</v>
      </c>
    </row>
    <row r="34" customFormat="false" ht="15" hidden="false" customHeight="false" outlineLevel="0" collapsed="false">
      <c r="A34" s="15" t="n">
        <v>45874</v>
      </c>
      <c r="B34" s="16" t="str">
        <f aca="false">TEXT(A34,"ddd")</f>
        <v>Tue</v>
      </c>
      <c r="C34" s="16" t="str">
        <f aca="false">TEXT(A34,"mmm")</f>
        <v>Aug</v>
      </c>
      <c r="D34" s="16" t="s">
        <v>33</v>
      </c>
      <c r="E34" s="16" t="str">
        <f aca="false">INDEX(Products!$B$2:$B$9,MATCH(D34,Products!$A$2:$A$9,0))</f>
        <v>Hot Espresso</v>
      </c>
      <c r="F34" s="17" t="n">
        <f aca="false">INDEX(Products!$C$2:$C$9,MATCH(D34,Products!$A$2:$A$9,0))</f>
        <v>5.25</v>
      </c>
      <c r="G34" s="18" t="n">
        <v>24</v>
      </c>
      <c r="H34" s="17" t="n">
        <f aca="false">F34*G34</f>
        <v>126</v>
      </c>
    </row>
    <row r="35" customFormat="false" ht="15" hidden="false" customHeight="false" outlineLevel="0" collapsed="false">
      <c r="A35" s="15" t="n">
        <v>45874</v>
      </c>
      <c r="B35" s="16" t="str">
        <f aca="false">TEXT(A35,"ddd")</f>
        <v>Tue</v>
      </c>
      <c r="C35" s="16" t="str">
        <f aca="false">TEXT(A35,"mmm")</f>
        <v>Aug</v>
      </c>
      <c r="D35" s="16" t="s">
        <v>36</v>
      </c>
      <c r="E35" s="16" t="str">
        <f aca="false">INDEX(Products!$B$2:$B$9,MATCH(D35,Products!$A$2:$A$9,0))</f>
        <v>Cold Drinks</v>
      </c>
      <c r="F35" s="17" t="n">
        <f aca="false">INDEX(Products!$C$2:$C$9,MATCH(D35,Products!$A$2:$A$9,0))</f>
        <v>3.95</v>
      </c>
      <c r="G35" s="18" t="n">
        <v>68</v>
      </c>
      <c r="H35" s="17" t="n">
        <f aca="false">F35*G35</f>
        <v>268.6</v>
      </c>
    </row>
    <row r="36" customFormat="false" ht="15" hidden="false" customHeight="false" outlineLevel="0" collapsed="false">
      <c r="A36" s="15" t="n">
        <v>45874</v>
      </c>
      <c r="B36" s="16" t="str">
        <f aca="false">TEXT(A36,"ddd")</f>
        <v>Tue</v>
      </c>
      <c r="C36" s="16" t="str">
        <f aca="false">TEXT(A36,"mmm")</f>
        <v>Aug</v>
      </c>
      <c r="D36" s="16" t="s">
        <v>38</v>
      </c>
      <c r="E36" s="16" t="str">
        <f aca="false">INDEX(Products!$B$2:$B$9,MATCH(D36,Products!$A$2:$A$9,0))</f>
        <v>Cold Drinks</v>
      </c>
      <c r="F36" s="17" t="n">
        <f aca="false">INDEX(Products!$C$2:$C$9,MATCH(D36,Products!$A$2:$A$9,0))</f>
        <v>4.45</v>
      </c>
      <c r="G36" s="18" t="n">
        <v>50</v>
      </c>
      <c r="H36" s="17" t="n">
        <f aca="false">F36*G36</f>
        <v>222.5</v>
      </c>
    </row>
    <row r="37" customFormat="false" ht="15" hidden="false" customHeight="false" outlineLevel="0" collapsed="false">
      <c r="A37" s="15" t="n">
        <v>45875</v>
      </c>
      <c r="B37" s="16" t="str">
        <f aca="false">TEXT(A37,"ddd")</f>
        <v>Wed</v>
      </c>
      <c r="C37" s="16" t="str">
        <f aca="false">TEXT(A37,"mmm")</f>
        <v>Aug</v>
      </c>
      <c r="D37" s="16" t="s">
        <v>28</v>
      </c>
      <c r="E37" s="16" t="str">
        <f aca="false">INDEX(Products!$B$2:$B$9,MATCH(D37,Products!$A$2:$A$9,0))</f>
        <v>Hot Espresso</v>
      </c>
      <c r="F37" s="17" t="n">
        <f aca="false">INDEX(Products!$C$2:$C$9,MATCH(D37,Products!$A$2:$A$9,0))</f>
        <v>4.95</v>
      </c>
      <c r="G37" s="18" t="n">
        <v>61</v>
      </c>
      <c r="H37" s="17" t="n">
        <f aca="false">F37*G37</f>
        <v>301.95</v>
      </c>
    </row>
    <row r="38" customFormat="false" ht="15" hidden="false" customHeight="false" outlineLevel="0" collapsed="false">
      <c r="A38" s="15" t="n">
        <v>45875</v>
      </c>
      <c r="B38" s="16" t="str">
        <f aca="false">TEXT(A38,"ddd")</f>
        <v>Wed</v>
      </c>
      <c r="C38" s="16" t="str">
        <f aca="false">TEXT(A38,"mmm")</f>
        <v>Aug</v>
      </c>
      <c r="D38" s="16" t="s">
        <v>30</v>
      </c>
      <c r="E38" s="16" t="str">
        <f aca="false">INDEX(Products!$B$2:$B$9,MATCH(D38,Products!$A$2:$A$9,0))</f>
        <v>Hot Espresso</v>
      </c>
      <c r="F38" s="17" t="n">
        <f aca="false">INDEX(Products!$C$2:$C$9,MATCH(D38,Products!$A$2:$A$9,0))</f>
        <v>4.75</v>
      </c>
      <c r="G38" s="18" t="n">
        <v>51</v>
      </c>
      <c r="H38" s="17" t="n">
        <f aca="false">F38*G38</f>
        <v>242.25</v>
      </c>
    </row>
    <row r="39" customFormat="false" ht="15" hidden="false" customHeight="false" outlineLevel="0" collapsed="false">
      <c r="A39" s="15" t="n">
        <v>45875</v>
      </c>
      <c r="B39" s="16" t="str">
        <f aca="false">TEXT(A39,"ddd")</f>
        <v>Wed</v>
      </c>
      <c r="C39" s="16" t="str">
        <f aca="false">TEXT(A39,"mmm")</f>
        <v>Aug</v>
      </c>
      <c r="D39" s="16" t="s">
        <v>31</v>
      </c>
      <c r="E39" s="16" t="str">
        <f aca="false">INDEX(Products!$B$2:$B$9,MATCH(D39,Products!$A$2:$A$9,0))</f>
        <v>Hot Espresso</v>
      </c>
      <c r="F39" s="17" t="n">
        <f aca="false">INDEX(Products!$C$2:$C$9,MATCH(D39,Products!$A$2:$A$9,0))</f>
        <v>5.45</v>
      </c>
      <c r="G39" s="18" t="n">
        <v>34</v>
      </c>
      <c r="H39" s="17" t="n">
        <f aca="false">F39*G39</f>
        <v>185.3</v>
      </c>
    </row>
    <row r="40" customFormat="false" ht="15" hidden="false" customHeight="false" outlineLevel="0" collapsed="false">
      <c r="A40" s="15" t="n">
        <v>45875</v>
      </c>
      <c r="B40" s="16" t="str">
        <f aca="false">TEXT(A40,"ddd")</f>
        <v>Wed</v>
      </c>
      <c r="C40" s="16" t="str">
        <f aca="false">TEXT(A40,"mmm")</f>
        <v>Aug</v>
      </c>
      <c r="D40" s="16" t="s">
        <v>32</v>
      </c>
      <c r="E40" s="16" t="str">
        <f aca="false">INDEX(Products!$B$2:$B$9,MATCH(D40,Products!$A$2:$A$9,0))</f>
        <v>Hot Espresso</v>
      </c>
      <c r="F40" s="17" t="n">
        <f aca="false">INDEX(Products!$C$2:$C$9,MATCH(D40,Products!$A$2:$A$9,0))</f>
        <v>3.75</v>
      </c>
      <c r="G40" s="18" t="n">
        <v>32</v>
      </c>
      <c r="H40" s="17" t="n">
        <f aca="false">F40*G40</f>
        <v>120</v>
      </c>
    </row>
    <row r="41" customFormat="false" ht="15" hidden="false" customHeight="false" outlineLevel="0" collapsed="false">
      <c r="A41" s="15" t="n">
        <v>45875</v>
      </c>
      <c r="B41" s="16" t="str">
        <f aca="false">TEXT(A41,"ddd")</f>
        <v>Wed</v>
      </c>
      <c r="C41" s="16" t="str">
        <f aca="false">TEXT(A41,"mmm")</f>
        <v>Aug</v>
      </c>
      <c r="D41" s="16" t="s">
        <v>33</v>
      </c>
      <c r="E41" s="16" t="str">
        <f aca="false">INDEX(Products!$B$2:$B$9,MATCH(D41,Products!$A$2:$A$9,0))</f>
        <v>Hot Espresso</v>
      </c>
      <c r="F41" s="17" t="n">
        <f aca="false">INDEX(Products!$C$2:$C$9,MATCH(D41,Products!$A$2:$A$9,0))</f>
        <v>5.25</v>
      </c>
      <c r="G41" s="18" t="n">
        <v>28</v>
      </c>
      <c r="H41" s="17" t="n">
        <f aca="false">F41*G41</f>
        <v>147</v>
      </c>
    </row>
    <row r="42" customFormat="false" ht="15" hidden="false" customHeight="false" outlineLevel="0" collapsed="false">
      <c r="A42" s="15" t="n">
        <v>45875</v>
      </c>
      <c r="B42" s="16" t="str">
        <f aca="false">TEXT(A42,"ddd")</f>
        <v>Wed</v>
      </c>
      <c r="C42" s="16" t="str">
        <f aca="false">TEXT(A42,"mmm")</f>
        <v>Aug</v>
      </c>
      <c r="D42" s="16" t="s">
        <v>36</v>
      </c>
      <c r="E42" s="16" t="str">
        <f aca="false">INDEX(Products!$B$2:$B$9,MATCH(D42,Products!$A$2:$A$9,0))</f>
        <v>Cold Drinks</v>
      </c>
      <c r="F42" s="17" t="n">
        <f aca="false">INDEX(Products!$C$2:$C$9,MATCH(D42,Products!$A$2:$A$9,0))</f>
        <v>3.95</v>
      </c>
      <c r="G42" s="18" t="n">
        <v>70</v>
      </c>
      <c r="H42" s="17" t="n">
        <f aca="false">F42*G42</f>
        <v>276.5</v>
      </c>
    </row>
    <row r="43" customFormat="false" ht="15" hidden="false" customHeight="false" outlineLevel="0" collapsed="false">
      <c r="A43" s="15" t="n">
        <v>45875</v>
      </c>
      <c r="B43" s="16" t="str">
        <f aca="false">TEXT(A43,"ddd")</f>
        <v>Wed</v>
      </c>
      <c r="C43" s="16" t="str">
        <f aca="false">TEXT(A43,"mmm")</f>
        <v>Aug</v>
      </c>
      <c r="D43" s="16" t="s">
        <v>38</v>
      </c>
      <c r="E43" s="16" t="str">
        <f aca="false">INDEX(Products!$B$2:$B$9,MATCH(D43,Products!$A$2:$A$9,0))</f>
        <v>Cold Drinks</v>
      </c>
      <c r="F43" s="17" t="n">
        <f aca="false">INDEX(Products!$C$2:$C$9,MATCH(D43,Products!$A$2:$A$9,0))</f>
        <v>4.45</v>
      </c>
      <c r="G43" s="18" t="n">
        <v>52</v>
      </c>
      <c r="H43" s="17" t="n">
        <f aca="false">F43*G43</f>
        <v>231.4</v>
      </c>
    </row>
    <row r="44" customFormat="false" ht="15" hidden="false" customHeight="false" outlineLevel="0" collapsed="false">
      <c r="A44" s="15" t="n">
        <v>45876</v>
      </c>
      <c r="B44" s="16" t="str">
        <f aca="false">TEXT(A44,"ddd")</f>
        <v>Thu</v>
      </c>
      <c r="C44" s="16" t="str">
        <f aca="false">TEXT(A44,"mmm")</f>
        <v>Aug</v>
      </c>
      <c r="D44" s="16" t="s">
        <v>28</v>
      </c>
      <c r="E44" s="16" t="str">
        <f aca="false">INDEX(Products!$B$2:$B$9,MATCH(D44,Products!$A$2:$A$9,0))</f>
        <v>Hot Espresso</v>
      </c>
      <c r="F44" s="17" t="n">
        <f aca="false">INDEX(Products!$C$2:$C$9,MATCH(D44,Products!$A$2:$A$9,0))</f>
        <v>4.95</v>
      </c>
      <c r="G44" s="18" t="n">
        <v>58</v>
      </c>
      <c r="H44" s="17" t="n">
        <f aca="false">F44*G44</f>
        <v>287.1</v>
      </c>
    </row>
    <row r="45" customFormat="false" ht="15" hidden="false" customHeight="false" outlineLevel="0" collapsed="false">
      <c r="A45" s="15" t="n">
        <v>45876</v>
      </c>
      <c r="B45" s="16" t="str">
        <f aca="false">TEXT(A45,"ddd")</f>
        <v>Thu</v>
      </c>
      <c r="C45" s="16" t="str">
        <f aca="false">TEXT(A45,"mmm")</f>
        <v>Aug</v>
      </c>
      <c r="D45" s="16" t="s">
        <v>30</v>
      </c>
      <c r="E45" s="16" t="str">
        <f aca="false">INDEX(Products!$B$2:$B$9,MATCH(D45,Products!$A$2:$A$9,0))</f>
        <v>Hot Espresso</v>
      </c>
      <c r="F45" s="17" t="n">
        <f aca="false">INDEX(Products!$C$2:$C$9,MATCH(D45,Products!$A$2:$A$9,0))</f>
        <v>4.75</v>
      </c>
      <c r="G45" s="18" t="n">
        <v>51</v>
      </c>
      <c r="H45" s="17" t="n">
        <f aca="false">F45*G45</f>
        <v>242.25</v>
      </c>
    </row>
    <row r="46" customFormat="false" ht="15" hidden="false" customHeight="false" outlineLevel="0" collapsed="false">
      <c r="A46" s="15" t="n">
        <v>45876</v>
      </c>
      <c r="B46" s="16" t="str">
        <f aca="false">TEXT(A46,"ddd")</f>
        <v>Thu</v>
      </c>
      <c r="C46" s="16" t="str">
        <f aca="false">TEXT(A46,"mmm")</f>
        <v>Aug</v>
      </c>
      <c r="D46" s="16" t="s">
        <v>31</v>
      </c>
      <c r="E46" s="16" t="str">
        <f aca="false">INDEX(Products!$B$2:$B$9,MATCH(D46,Products!$A$2:$A$9,0))</f>
        <v>Hot Espresso</v>
      </c>
      <c r="F46" s="17" t="n">
        <f aca="false">INDEX(Products!$C$2:$C$9,MATCH(D46,Products!$A$2:$A$9,0))</f>
        <v>5.45</v>
      </c>
      <c r="G46" s="18" t="n">
        <v>40</v>
      </c>
      <c r="H46" s="17" t="n">
        <f aca="false">F46*G46</f>
        <v>218</v>
      </c>
    </row>
    <row r="47" customFormat="false" ht="15" hidden="false" customHeight="false" outlineLevel="0" collapsed="false">
      <c r="A47" s="15" t="n">
        <v>45876</v>
      </c>
      <c r="B47" s="16" t="str">
        <f aca="false">TEXT(A47,"ddd")</f>
        <v>Thu</v>
      </c>
      <c r="C47" s="16" t="str">
        <f aca="false">TEXT(A47,"mmm")</f>
        <v>Aug</v>
      </c>
      <c r="D47" s="16" t="s">
        <v>32</v>
      </c>
      <c r="E47" s="16" t="str">
        <f aca="false">INDEX(Products!$B$2:$B$9,MATCH(D47,Products!$A$2:$A$9,0))</f>
        <v>Hot Espresso</v>
      </c>
      <c r="F47" s="17" t="n">
        <f aca="false">INDEX(Products!$C$2:$C$9,MATCH(D47,Products!$A$2:$A$9,0))</f>
        <v>3.75</v>
      </c>
      <c r="G47" s="18" t="n">
        <v>31</v>
      </c>
      <c r="H47" s="17" t="n">
        <f aca="false">F47*G47</f>
        <v>116.25</v>
      </c>
    </row>
    <row r="48" customFormat="false" ht="15" hidden="false" customHeight="false" outlineLevel="0" collapsed="false">
      <c r="A48" s="15" t="n">
        <v>45876</v>
      </c>
      <c r="B48" s="16" t="str">
        <f aca="false">TEXT(A48,"ddd")</f>
        <v>Thu</v>
      </c>
      <c r="C48" s="16" t="str">
        <f aca="false">TEXT(A48,"mmm")</f>
        <v>Aug</v>
      </c>
      <c r="D48" s="16" t="s">
        <v>33</v>
      </c>
      <c r="E48" s="16" t="str">
        <f aca="false">INDEX(Products!$B$2:$B$9,MATCH(D48,Products!$A$2:$A$9,0))</f>
        <v>Hot Espresso</v>
      </c>
      <c r="F48" s="17" t="n">
        <f aca="false">INDEX(Products!$C$2:$C$9,MATCH(D48,Products!$A$2:$A$9,0))</f>
        <v>5.25</v>
      </c>
      <c r="G48" s="18" t="n">
        <v>32</v>
      </c>
      <c r="H48" s="17" t="n">
        <f aca="false">F48*G48</f>
        <v>168</v>
      </c>
    </row>
    <row r="49" customFormat="false" ht="15" hidden="false" customHeight="false" outlineLevel="0" collapsed="false">
      <c r="A49" s="15" t="n">
        <v>45876</v>
      </c>
      <c r="B49" s="16" t="str">
        <f aca="false">TEXT(A49,"ddd")</f>
        <v>Thu</v>
      </c>
      <c r="C49" s="16" t="str">
        <f aca="false">TEXT(A49,"mmm")</f>
        <v>Aug</v>
      </c>
      <c r="D49" s="16" t="s">
        <v>36</v>
      </c>
      <c r="E49" s="16" t="str">
        <f aca="false">INDEX(Products!$B$2:$B$9,MATCH(D49,Products!$A$2:$A$9,0))</f>
        <v>Cold Drinks</v>
      </c>
      <c r="F49" s="17" t="n">
        <f aca="false">INDEX(Products!$C$2:$C$9,MATCH(D49,Products!$A$2:$A$9,0))</f>
        <v>3.95</v>
      </c>
      <c r="G49" s="18" t="n">
        <v>73</v>
      </c>
      <c r="H49" s="17" t="n">
        <f aca="false">F49*G49</f>
        <v>288.35</v>
      </c>
    </row>
    <row r="50" customFormat="false" ht="15" hidden="false" customHeight="false" outlineLevel="0" collapsed="false">
      <c r="A50" s="15" t="n">
        <v>45876</v>
      </c>
      <c r="B50" s="16" t="str">
        <f aca="false">TEXT(A50,"ddd")</f>
        <v>Thu</v>
      </c>
      <c r="C50" s="16" t="str">
        <f aca="false">TEXT(A50,"mmm")</f>
        <v>Aug</v>
      </c>
      <c r="D50" s="16" t="s">
        <v>38</v>
      </c>
      <c r="E50" s="16" t="str">
        <f aca="false">INDEX(Products!$B$2:$B$9,MATCH(D50,Products!$A$2:$A$9,0))</f>
        <v>Cold Drinks</v>
      </c>
      <c r="F50" s="17" t="n">
        <f aca="false">INDEX(Products!$C$2:$C$9,MATCH(D50,Products!$A$2:$A$9,0))</f>
        <v>4.45</v>
      </c>
      <c r="G50" s="18" t="n">
        <v>51</v>
      </c>
      <c r="H50" s="17" t="n">
        <f aca="false">F50*G50</f>
        <v>226.95</v>
      </c>
    </row>
    <row r="51" customFormat="false" ht="15" hidden="false" customHeight="false" outlineLevel="0" collapsed="false">
      <c r="A51" s="15" t="n">
        <v>45877</v>
      </c>
      <c r="B51" s="16" t="str">
        <f aca="false">TEXT(A51,"ddd")</f>
        <v>Fri</v>
      </c>
      <c r="C51" s="16" t="str">
        <f aca="false">TEXT(A51,"mmm")</f>
        <v>Aug</v>
      </c>
      <c r="D51" s="16" t="s">
        <v>28</v>
      </c>
      <c r="E51" s="16" t="str">
        <f aca="false">INDEX(Products!$B$2:$B$9,MATCH(D51,Products!$A$2:$A$9,0))</f>
        <v>Hot Espresso</v>
      </c>
      <c r="F51" s="17" t="n">
        <f aca="false">INDEX(Products!$C$2:$C$9,MATCH(D51,Products!$A$2:$A$9,0))</f>
        <v>4.95</v>
      </c>
      <c r="G51" s="18" t="n">
        <v>54</v>
      </c>
      <c r="H51" s="17" t="n">
        <f aca="false">F51*G51</f>
        <v>267.3</v>
      </c>
    </row>
    <row r="52" customFormat="false" ht="15" hidden="false" customHeight="false" outlineLevel="0" collapsed="false">
      <c r="A52" s="15" t="n">
        <v>45877</v>
      </c>
      <c r="B52" s="16" t="str">
        <f aca="false">TEXT(A52,"ddd")</f>
        <v>Fri</v>
      </c>
      <c r="C52" s="16" t="str">
        <f aca="false">TEXT(A52,"mmm")</f>
        <v>Aug</v>
      </c>
      <c r="D52" s="16" t="s">
        <v>30</v>
      </c>
      <c r="E52" s="16" t="str">
        <f aca="false">INDEX(Products!$B$2:$B$9,MATCH(D52,Products!$A$2:$A$9,0))</f>
        <v>Hot Espresso</v>
      </c>
      <c r="F52" s="17" t="n">
        <f aca="false">INDEX(Products!$C$2:$C$9,MATCH(D52,Products!$A$2:$A$9,0))</f>
        <v>4.75</v>
      </c>
      <c r="G52" s="18" t="n">
        <v>46</v>
      </c>
      <c r="H52" s="17" t="n">
        <f aca="false">F52*G52</f>
        <v>218.5</v>
      </c>
    </row>
    <row r="53" customFormat="false" ht="15" hidden="false" customHeight="false" outlineLevel="0" collapsed="false">
      <c r="A53" s="15" t="n">
        <v>45877</v>
      </c>
      <c r="B53" s="16" t="str">
        <f aca="false">TEXT(A53,"ddd")</f>
        <v>Fri</v>
      </c>
      <c r="C53" s="16" t="str">
        <f aca="false">TEXT(A53,"mmm")</f>
        <v>Aug</v>
      </c>
      <c r="D53" s="16" t="s">
        <v>31</v>
      </c>
      <c r="E53" s="16" t="str">
        <f aca="false">INDEX(Products!$B$2:$B$9,MATCH(D53,Products!$A$2:$A$9,0))</f>
        <v>Hot Espresso</v>
      </c>
      <c r="F53" s="17" t="n">
        <f aca="false">INDEX(Products!$C$2:$C$9,MATCH(D53,Products!$A$2:$A$9,0))</f>
        <v>5.45</v>
      </c>
      <c r="G53" s="18" t="n">
        <v>39</v>
      </c>
      <c r="H53" s="17" t="n">
        <f aca="false">F53*G53</f>
        <v>212.55</v>
      </c>
    </row>
    <row r="54" customFormat="false" ht="15" hidden="false" customHeight="false" outlineLevel="0" collapsed="false">
      <c r="A54" s="15" t="n">
        <v>45877</v>
      </c>
      <c r="B54" s="16" t="str">
        <f aca="false">TEXT(A54,"ddd")</f>
        <v>Fri</v>
      </c>
      <c r="C54" s="16" t="str">
        <f aca="false">TEXT(A54,"mmm")</f>
        <v>Aug</v>
      </c>
      <c r="D54" s="16" t="s">
        <v>32</v>
      </c>
      <c r="E54" s="16" t="str">
        <f aca="false">INDEX(Products!$B$2:$B$9,MATCH(D54,Products!$A$2:$A$9,0))</f>
        <v>Hot Espresso</v>
      </c>
      <c r="F54" s="17" t="n">
        <f aca="false">INDEX(Products!$C$2:$C$9,MATCH(D54,Products!$A$2:$A$9,0))</f>
        <v>3.75</v>
      </c>
      <c r="G54" s="18" t="n">
        <v>29</v>
      </c>
      <c r="H54" s="17" t="n">
        <f aca="false">F54*G54</f>
        <v>108.75</v>
      </c>
    </row>
    <row r="55" customFormat="false" ht="15" hidden="false" customHeight="false" outlineLevel="0" collapsed="false">
      <c r="A55" s="15" t="n">
        <v>45877</v>
      </c>
      <c r="B55" s="16" t="str">
        <f aca="false">TEXT(A55,"ddd")</f>
        <v>Fri</v>
      </c>
      <c r="C55" s="16" t="str">
        <f aca="false">TEXT(A55,"mmm")</f>
        <v>Aug</v>
      </c>
      <c r="D55" s="16" t="s">
        <v>33</v>
      </c>
      <c r="E55" s="16" t="str">
        <f aca="false">INDEX(Products!$B$2:$B$9,MATCH(D55,Products!$A$2:$A$9,0))</f>
        <v>Hot Espresso</v>
      </c>
      <c r="F55" s="17" t="n">
        <f aca="false">INDEX(Products!$C$2:$C$9,MATCH(D55,Products!$A$2:$A$9,0))</f>
        <v>5.25</v>
      </c>
      <c r="G55" s="18" t="n">
        <v>36</v>
      </c>
      <c r="H55" s="17" t="n">
        <f aca="false">F55*G55</f>
        <v>189</v>
      </c>
    </row>
    <row r="56" customFormat="false" ht="15" hidden="false" customHeight="false" outlineLevel="0" collapsed="false">
      <c r="A56" s="15" t="n">
        <v>45877</v>
      </c>
      <c r="B56" s="16" t="str">
        <f aca="false">TEXT(A56,"ddd")</f>
        <v>Fri</v>
      </c>
      <c r="C56" s="16" t="str">
        <f aca="false">TEXT(A56,"mmm")</f>
        <v>Aug</v>
      </c>
      <c r="D56" s="16" t="s">
        <v>36</v>
      </c>
      <c r="E56" s="16" t="str">
        <f aca="false">INDEX(Products!$B$2:$B$9,MATCH(D56,Products!$A$2:$A$9,0))</f>
        <v>Cold Drinks</v>
      </c>
      <c r="F56" s="17" t="n">
        <f aca="false">INDEX(Products!$C$2:$C$9,MATCH(D56,Products!$A$2:$A$9,0))</f>
        <v>3.95</v>
      </c>
      <c r="G56" s="18" t="n">
        <v>65</v>
      </c>
      <c r="H56" s="17" t="n">
        <f aca="false">F56*G56</f>
        <v>256.75</v>
      </c>
    </row>
    <row r="57" customFormat="false" ht="15" hidden="false" customHeight="false" outlineLevel="0" collapsed="false">
      <c r="A57" s="15" t="n">
        <v>45877</v>
      </c>
      <c r="B57" s="16" t="str">
        <f aca="false">TEXT(A57,"ddd")</f>
        <v>Fri</v>
      </c>
      <c r="C57" s="16" t="str">
        <f aca="false">TEXT(A57,"mmm")</f>
        <v>Aug</v>
      </c>
      <c r="D57" s="16" t="s">
        <v>38</v>
      </c>
      <c r="E57" s="16" t="str">
        <f aca="false">INDEX(Products!$B$2:$B$9,MATCH(D57,Products!$A$2:$A$9,0))</f>
        <v>Cold Drinks</v>
      </c>
      <c r="F57" s="17" t="n">
        <f aca="false">INDEX(Products!$C$2:$C$9,MATCH(D57,Products!$A$2:$A$9,0))</f>
        <v>4.45</v>
      </c>
      <c r="G57" s="18" t="n">
        <v>48</v>
      </c>
      <c r="H57" s="17" t="n">
        <f aca="false">F57*G57</f>
        <v>213.6</v>
      </c>
    </row>
    <row r="58" customFormat="false" ht="15" hidden="false" customHeight="false" outlineLevel="0" collapsed="false">
      <c r="A58" s="15" t="n">
        <v>45878</v>
      </c>
      <c r="B58" s="16" t="str">
        <f aca="false">TEXT(A58,"ddd")</f>
        <v>Sat</v>
      </c>
      <c r="C58" s="16" t="str">
        <f aca="false">TEXT(A58,"mmm")</f>
        <v>Aug</v>
      </c>
      <c r="D58" s="16" t="s">
        <v>28</v>
      </c>
      <c r="E58" s="16" t="str">
        <f aca="false">INDEX(Products!$B$2:$B$9,MATCH(D58,Products!$A$2:$A$9,0))</f>
        <v>Hot Espresso</v>
      </c>
      <c r="F58" s="17" t="n">
        <f aca="false">INDEX(Products!$C$2:$C$9,MATCH(D58,Products!$A$2:$A$9,0))</f>
        <v>4.95</v>
      </c>
      <c r="G58" s="18" t="n">
        <v>72</v>
      </c>
      <c r="H58" s="17" t="n">
        <f aca="false">F58*G58</f>
        <v>356.4</v>
      </c>
    </row>
    <row r="59" customFormat="false" ht="15" hidden="false" customHeight="false" outlineLevel="0" collapsed="false">
      <c r="A59" s="15" t="n">
        <v>45878</v>
      </c>
      <c r="B59" s="16" t="str">
        <f aca="false">TEXT(A59,"ddd")</f>
        <v>Sat</v>
      </c>
      <c r="C59" s="16" t="str">
        <f aca="false">TEXT(A59,"mmm")</f>
        <v>Aug</v>
      </c>
      <c r="D59" s="16" t="s">
        <v>30</v>
      </c>
      <c r="E59" s="16" t="str">
        <f aca="false">INDEX(Products!$B$2:$B$9,MATCH(D59,Products!$A$2:$A$9,0))</f>
        <v>Hot Espresso</v>
      </c>
      <c r="F59" s="17" t="n">
        <f aca="false">INDEX(Products!$C$2:$C$9,MATCH(D59,Products!$A$2:$A$9,0))</f>
        <v>4.75</v>
      </c>
      <c r="G59" s="18" t="n">
        <v>63</v>
      </c>
      <c r="H59" s="17" t="n">
        <f aca="false">F59*G59</f>
        <v>299.25</v>
      </c>
    </row>
    <row r="60" customFormat="false" ht="15" hidden="false" customHeight="false" outlineLevel="0" collapsed="false">
      <c r="A60" s="15" t="n">
        <v>45878</v>
      </c>
      <c r="B60" s="16" t="str">
        <f aca="false">TEXT(A60,"ddd")</f>
        <v>Sat</v>
      </c>
      <c r="C60" s="16" t="str">
        <f aca="false">TEXT(A60,"mmm")</f>
        <v>Aug</v>
      </c>
      <c r="D60" s="16" t="s">
        <v>31</v>
      </c>
      <c r="E60" s="16" t="str">
        <f aca="false">INDEX(Products!$B$2:$B$9,MATCH(D60,Products!$A$2:$A$9,0))</f>
        <v>Hot Espresso</v>
      </c>
      <c r="F60" s="17" t="n">
        <f aca="false">INDEX(Products!$C$2:$C$9,MATCH(D60,Products!$A$2:$A$9,0))</f>
        <v>5.45</v>
      </c>
      <c r="G60" s="18" t="n">
        <v>47</v>
      </c>
      <c r="H60" s="17" t="n">
        <f aca="false">F60*G60</f>
        <v>256.15</v>
      </c>
    </row>
    <row r="61" customFormat="false" ht="15" hidden="false" customHeight="false" outlineLevel="0" collapsed="false">
      <c r="A61" s="15" t="n">
        <v>45878</v>
      </c>
      <c r="B61" s="16" t="str">
        <f aca="false">TEXT(A61,"ddd")</f>
        <v>Sat</v>
      </c>
      <c r="C61" s="16" t="str">
        <f aca="false">TEXT(A61,"mmm")</f>
        <v>Aug</v>
      </c>
      <c r="D61" s="16" t="s">
        <v>32</v>
      </c>
      <c r="E61" s="16" t="str">
        <f aca="false">INDEX(Products!$B$2:$B$9,MATCH(D61,Products!$A$2:$A$9,0))</f>
        <v>Hot Espresso</v>
      </c>
      <c r="F61" s="17" t="n">
        <f aca="false">INDEX(Products!$C$2:$C$9,MATCH(D61,Products!$A$2:$A$9,0))</f>
        <v>3.75</v>
      </c>
      <c r="G61" s="18" t="n">
        <v>38</v>
      </c>
      <c r="H61" s="17" t="n">
        <f aca="false">F61*G61</f>
        <v>142.5</v>
      </c>
    </row>
    <row r="62" customFormat="false" ht="15" hidden="false" customHeight="false" outlineLevel="0" collapsed="false">
      <c r="A62" s="15" t="n">
        <v>45878</v>
      </c>
      <c r="B62" s="16" t="str">
        <f aca="false">TEXT(A62,"ddd")</f>
        <v>Sat</v>
      </c>
      <c r="C62" s="16" t="str">
        <f aca="false">TEXT(A62,"mmm")</f>
        <v>Aug</v>
      </c>
      <c r="D62" s="16" t="s">
        <v>33</v>
      </c>
      <c r="E62" s="16" t="str">
        <f aca="false">INDEX(Products!$B$2:$B$9,MATCH(D62,Products!$A$2:$A$9,0))</f>
        <v>Hot Espresso</v>
      </c>
      <c r="F62" s="17" t="n">
        <f aca="false">INDEX(Products!$C$2:$C$9,MATCH(D62,Products!$A$2:$A$9,0))</f>
        <v>5.25</v>
      </c>
      <c r="G62" s="18" t="n">
        <v>40</v>
      </c>
      <c r="H62" s="17" t="n">
        <f aca="false">F62*G62</f>
        <v>210</v>
      </c>
    </row>
    <row r="63" customFormat="false" ht="15" hidden="false" customHeight="false" outlineLevel="0" collapsed="false">
      <c r="A63" s="15" t="n">
        <v>45878</v>
      </c>
      <c r="B63" s="16" t="str">
        <f aca="false">TEXT(A63,"ddd")</f>
        <v>Sat</v>
      </c>
      <c r="C63" s="16" t="str">
        <f aca="false">TEXT(A63,"mmm")</f>
        <v>Aug</v>
      </c>
      <c r="D63" s="16" t="s">
        <v>36</v>
      </c>
      <c r="E63" s="16" t="str">
        <f aca="false">INDEX(Products!$B$2:$B$9,MATCH(D63,Products!$A$2:$A$9,0))</f>
        <v>Cold Drinks</v>
      </c>
      <c r="F63" s="17" t="n">
        <f aca="false">INDEX(Products!$C$2:$C$9,MATCH(D63,Products!$A$2:$A$9,0))</f>
        <v>3.95</v>
      </c>
      <c r="G63" s="18" t="n">
        <v>82</v>
      </c>
      <c r="H63" s="17" t="n">
        <f aca="false">F63*G63</f>
        <v>323.9</v>
      </c>
    </row>
    <row r="64" customFormat="false" ht="15" hidden="false" customHeight="false" outlineLevel="0" collapsed="false">
      <c r="A64" s="15" t="n">
        <v>45878</v>
      </c>
      <c r="B64" s="16" t="str">
        <f aca="false">TEXT(A64,"ddd")</f>
        <v>Sat</v>
      </c>
      <c r="C64" s="16" t="str">
        <f aca="false">TEXT(A64,"mmm")</f>
        <v>Aug</v>
      </c>
      <c r="D64" s="16" t="s">
        <v>38</v>
      </c>
      <c r="E64" s="16" t="str">
        <f aca="false">INDEX(Products!$B$2:$B$9,MATCH(D64,Products!$A$2:$A$9,0))</f>
        <v>Cold Drinks</v>
      </c>
      <c r="F64" s="17" t="n">
        <f aca="false">INDEX(Products!$C$2:$C$9,MATCH(D64,Products!$A$2:$A$9,0))</f>
        <v>4.45</v>
      </c>
      <c r="G64" s="18" t="n">
        <v>55</v>
      </c>
      <c r="H64" s="17" t="n">
        <f aca="false">F64*G64</f>
        <v>244.75</v>
      </c>
    </row>
    <row r="65" customFormat="false" ht="15" hidden="false" customHeight="false" outlineLevel="0" collapsed="false">
      <c r="A65" s="15" t="n">
        <v>45879</v>
      </c>
      <c r="B65" s="16" t="str">
        <f aca="false">TEXT(A65,"ddd")</f>
        <v>Sun</v>
      </c>
      <c r="C65" s="16" t="str">
        <f aca="false">TEXT(A65,"mmm")</f>
        <v>Aug</v>
      </c>
      <c r="D65" s="16" t="s">
        <v>28</v>
      </c>
      <c r="E65" s="16" t="str">
        <f aca="false">INDEX(Products!$B$2:$B$9,MATCH(D65,Products!$A$2:$A$9,0))</f>
        <v>Hot Espresso</v>
      </c>
      <c r="F65" s="17" t="n">
        <f aca="false">INDEX(Products!$C$2:$C$9,MATCH(D65,Products!$A$2:$A$9,0))</f>
        <v>4.95</v>
      </c>
      <c r="G65" s="18" t="n">
        <v>61</v>
      </c>
      <c r="H65" s="17" t="n">
        <f aca="false">F65*G65</f>
        <v>301.95</v>
      </c>
    </row>
    <row r="66" customFormat="false" ht="15" hidden="false" customHeight="false" outlineLevel="0" collapsed="false">
      <c r="A66" s="15" t="n">
        <v>45879</v>
      </c>
      <c r="B66" s="16" t="str">
        <f aca="false">TEXT(A66,"ddd")</f>
        <v>Sun</v>
      </c>
      <c r="C66" s="16" t="str">
        <f aca="false">TEXT(A66,"mmm")</f>
        <v>Aug</v>
      </c>
      <c r="D66" s="16" t="s">
        <v>30</v>
      </c>
      <c r="E66" s="16" t="str">
        <f aca="false">INDEX(Products!$B$2:$B$9,MATCH(D66,Products!$A$2:$A$9,0))</f>
        <v>Hot Espresso</v>
      </c>
      <c r="F66" s="17" t="n">
        <f aca="false">INDEX(Products!$C$2:$C$9,MATCH(D66,Products!$A$2:$A$9,0))</f>
        <v>4.75</v>
      </c>
      <c r="G66" s="18" t="n">
        <v>57</v>
      </c>
      <c r="H66" s="17" t="n">
        <f aca="false">F66*G66</f>
        <v>270.75</v>
      </c>
    </row>
    <row r="67" customFormat="false" ht="15" hidden="false" customHeight="false" outlineLevel="0" collapsed="false">
      <c r="A67" s="15" t="n">
        <v>45879</v>
      </c>
      <c r="B67" s="16" t="str">
        <f aca="false">TEXT(A67,"ddd")</f>
        <v>Sun</v>
      </c>
      <c r="C67" s="16" t="str">
        <f aca="false">TEXT(A67,"mmm")</f>
        <v>Aug</v>
      </c>
      <c r="D67" s="16" t="s">
        <v>31</v>
      </c>
      <c r="E67" s="16" t="str">
        <f aca="false">INDEX(Products!$B$2:$B$9,MATCH(D67,Products!$A$2:$A$9,0))</f>
        <v>Hot Espresso</v>
      </c>
      <c r="F67" s="17" t="n">
        <f aca="false">INDEX(Products!$C$2:$C$9,MATCH(D67,Products!$A$2:$A$9,0))</f>
        <v>5.45</v>
      </c>
      <c r="G67" s="18" t="n">
        <v>37</v>
      </c>
      <c r="H67" s="17" t="n">
        <f aca="false">F67*G67</f>
        <v>201.65</v>
      </c>
    </row>
    <row r="68" customFormat="false" ht="15" hidden="false" customHeight="false" outlineLevel="0" collapsed="false">
      <c r="A68" s="15" t="n">
        <v>45879</v>
      </c>
      <c r="B68" s="16" t="str">
        <f aca="false">TEXT(A68,"ddd")</f>
        <v>Sun</v>
      </c>
      <c r="C68" s="16" t="str">
        <f aca="false">TEXT(A68,"mmm")</f>
        <v>Aug</v>
      </c>
      <c r="D68" s="16" t="s">
        <v>32</v>
      </c>
      <c r="E68" s="16" t="str">
        <f aca="false">INDEX(Products!$B$2:$B$9,MATCH(D68,Products!$A$2:$A$9,0))</f>
        <v>Hot Espresso</v>
      </c>
      <c r="F68" s="17" t="n">
        <f aca="false">INDEX(Products!$C$2:$C$9,MATCH(D68,Products!$A$2:$A$9,0))</f>
        <v>3.75</v>
      </c>
      <c r="G68" s="18" t="n">
        <v>33</v>
      </c>
      <c r="H68" s="17" t="n">
        <f aca="false">F68*G68</f>
        <v>123.75</v>
      </c>
    </row>
    <row r="69" customFormat="false" ht="15" hidden="false" customHeight="false" outlineLevel="0" collapsed="false">
      <c r="A69" s="15" t="n">
        <v>45879</v>
      </c>
      <c r="B69" s="16" t="str">
        <f aca="false">TEXT(A69,"ddd")</f>
        <v>Sun</v>
      </c>
      <c r="C69" s="16" t="str">
        <f aca="false">TEXT(A69,"mmm")</f>
        <v>Aug</v>
      </c>
      <c r="D69" s="16" t="s">
        <v>33</v>
      </c>
      <c r="E69" s="16" t="str">
        <f aca="false">INDEX(Products!$B$2:$B$9,MATCH(D69,Products!$A$2:$A$9,0))</f>
        <v>Hot Espresso</v>
      </c>
      <c r="F69" s="17" t="n">
        <f aca="false">INDEX(Products!$C$2:$C$9,MATCH(D69,Products!$A$2:$A$9,0))</f>
        <v>5.25</v>
      </c>
      <c r="G69" s="18" t="n">
        <v>34</v>
      </c>
      <c r="H69" s="17" t="n">
        <f aca="false">F69*G69</f>
        <v>178.5</v>
      </c>
    </row>
    <row r="70" customFormat="false" ht="15" hidden="false" customHeight="false" outlineLevel="0" collapsed="false">
      <c r="A70" s="15" t="n">
        <v>45879</v>
      </c>
      <c r="B70" s="16" t="str">
        <f aca="false">TEXT(A70,"ddd")</f>
        <v>Sun</v>
      </c>
      <c r="C70" s="16" t="str">
        <f aca="false">TEXT(A70,"mmm")</f>
        <v>Aug</v>
      </c>
      <c r="D70" s="16" t="s">
        <v>36</v>
      </c>
      <c r="E70" s="16" t="str">
        <f aca="false">INDEX(Products!$B$2:$B$9,MATCH(D70,Products!$A$2:$A$9,0))</f>
        <v>Cold Drinks</v>
      </c>
      <c r="F70" s="17" t="n">
        <f aca="false">INDEX(Products!$C$2:$C$9,MATCH(D70,Products!$A$2:$A$9,0))</f>
        <v>3.95</v>
      </c>
      <c r="G70" s="18" t="n">
        <v>74</v>
      </c>
      <c r="H70" s="17" t="n">
        <f aca="false">F70*G70</f>
        <v>292.3</v>
      </c>
    </row>
    <row r="71" customFormat="false" ht="15" hidden="false" customHeight="false" outlineLevel="0" collapsed="false">
      <c r="A71" s="15" t="n">
        <v>45879</v>
      </c>
      <c r="B71" s="16" t="str">
        <f aca="false">TEXT(A71,"ddd")</f>
        <v>Sun</v>
      </c>
      <c r="C71" s="16" t="str">
        <f aca="false">TEXT(A71,"mmm")</f>
        <v>Aug</v>
      </c>
      <c r="D71" s="16" t="s">
        <v>38</v>
      </c>
      <c r="E71" s="16" t="str">
        <f aca="false">INDEX(Products!$B$2:$B$9,MATCH(D71,Products!$A$2:$A$9,0))</f>
        <v>Cold Drinks</v>
      </c>
      <c r="F71" s="17" t="n">
        <f aca="false">INDEX(Products!$C$2:$C$9,MATCH(D71,Products!$A$2:$A$9,0))</f>
        <v>4.45</v>
      </c>
      <c r="G71" s="18" t="n">
        <v>61</v>
      </c>
      <c r="H71" s="17" t="n">
        <f aca="false">F71*G71</f>
        <v>271.45</v>
      </c>
    </row>
    <row r="72" customFormat="false" ht="15" hidden="false" customHeight="false" outlineLevel="0" collapsed="false">
      <c r="A72" s="15" t="n">
        <v>45880</v>
      </c>
      <c r="B72" s="16" t="str">
        <f aca="false">TEXT(A72,"ddd")</f>
        <v>Mon</v>
      </c>
      <c r="C72" s="16" t="str">
        <f aca="false">TEXT(A72,"mmm")</f>
        <v>Aug</v>
      </c>
      <c r="D72" s="16" t="s">
        <v>28</v>
      </c>
      <c r="E72" s="16" t="str">
        <f aca="false">INDEX(Products!$B$2:$B$9,MATCH(D72,Products!$A$2:$A$9,0))</f>
        <v>Hot Espresso</v>
      </c>
      <c r="F72" s="17" t="n">
        <f aca="false">INDEX(Products!$C$2:$C$9,MATCH(D72,Products!$A$2:$A$9,0))</f>
        <v>4.95</v>
      </c>
      <c r="G72" s="18" t="n">
        <v>61</v>
      </c>
      <c r="H72" s="17" t="n">
        <f aca="false">F72*G72</f>
        <v>301.95</v>
      </c>
    </row>
    <row r="73" customFormat="false" ht="15" hidden="false" customHeight="false" outlineLevel="0" collapsed="false">
      <c r="A73" s="15" t="n">
        <v>45880</v>
      </c>
      <c r="B73" s="16" t="str">
        <f aca="false">TEXT(A73,"ddd")</f>
        <v>Mon</v>
      </c>
      <c r="C73" s="16" t="str">
        <f aca="false">TEXT(A73,"mmm")</f>
        <v>Aug</v>
      </c>
      <c r="D73" s="16" t="s">
        <v>30</v>
      </c>
      <c r="E73" s="16" t="str">
        <f aca="false">INDEX(Products!$B$2:$B$9,MATCH(D73,Products!$A$2:$A$9,0))</f>
        <v>Hot Espresso</v>
      </c>
      <c r="F73" s="17" t="n">
        <f aca="false">INDEX(Products!$C$2:$C$9,MATCH(D73,Products!$A$2:$A$9,0))</f>
        <v>4.75</v>
      </c>
      <c r="G73" s="18" t="n">
        <v>57</v>
      </c>
      <c r="H73" s="17" t="n">
        <f aca="false">F73*G73</f>
        <v>270.75</v>
      </c>
    </row>
    <row r="74" customFormat="false" ht="15" hidden="false" customHeight="false" outlineLevel="0" collapsed="false">
      <c r="A74" s="15" t="n">
        <v>45880</v>
      </c>
      <c r="B74" s="16" t="str">
        <f aca="false">TEXT(A74,"ddd")</f>
        <v>Mon</v>
      </c>
      <c r="C74" s="16" t="str">
        <f aca="false">TEXT(A74,"mmm")</f>
        <v>Aug</v>
      </c>
      <c r="D74" s="16" t="s">
        <v>31</v>
      </c>
      <c r="E74" s="16" t="str">
        <f aca="false">INDEX(Products!$B$2:$B$9,MATCH(D74,Products!$A$2:$A$9,0))</f>
        <v>Hot Espresso</v>
      </c>
      <c r="F74" s="17" t="n">
        <f aca="false">INDEX(Products!$C$2:$C$9,MATCH(D74,Products!$A$2:$A$9,0))</f>
        <v>5.45</v>
      </c>
      <c r="G74" s="18" t="n">
        <v>40</v>
      </c>
      <c r="H74" s="17" t="n">
        <f aca="false">F74*G74</f>
        <v>218</v>
      </c>
    </row>
    <row r="75" customFormat="false" ht="15" hidden="false" customHeight="false" outlineLevel="0" collapsed="false">
      <c r="A75" s="15" t="n">
        <v>45880</v>
      </c>
      <c r="B75" s="16" t="str">
        <f aca="false">TEXT(A75,"ddd")</f>
        <v>Mon</v>
      </c>
      <c r="C75" s="16" t="str">
        <f aca="false">TEXT(A75,"mmm")</f>
        <v>Aug</v>
      </c>
      <c r="D75" s="16" t="s">
        <v>32</v>
      </c>
      <c r="E75" s="16" t="str">
        <f aca="false">INDEX(Products!$B$2:$B$9,MATCH(D75,Products!$A$2:$A$9,0))</f>
        <v>Hot Espresso</v>
      </c>
      <c r="F75" s="17" t="n">
        <f aca="false">INDEX(Products!$C$2:$C$9,MATCH(D75,Products!$A$2:$A$9,0))</f>
        <v>3.75</v>
      </c>
      <c r="G75" s="18" t="n">
        <v>29</v>
      </c>
      <c r="H75" s="17" t="n">
        <f aca="false">F75*G75</f>
        <v>108.75</v>
      </c>
    </row>
    <row r="76" customFormat="false" ht="15" hidden="false" customHeight="false" outlineLevel="0" collapsed="false">
      <c r="A76" s="15" t="n">
        <v>45880</v>
      </c>
      <c r="B76" s="16" t="str">
        <f aca="false">TEXT(A76,"ddd")</f>
        <v>Mon</v>
      </c>
      <c r="C76" s="16" t="str">
        <f aca="false">TEXT(A76,"mmm")</f>
        <v>Aug</v>
      </c>
      <c r="D76" s="16" t="s">
        <v>33</v>
      </c>
      <c r="E76" s="16" t="str">
        <f aca="false">INDEX(Products!$B$2:$B$9,MATCH(D76,Products!$A$2:$A$9,0))</f>
        <v>Hot Espresso</v>
      </c>
      <c r="F76" s="17" t="n">
        <f aca="false">INDEX(Products!$C$2:$C$9,MATCH(D76,Products!$A$2:$A$9,0))</f>
        <v>5.25</v>
      </c>
      <c r="G76" s="18" t="n">
        <v>29</v>
      </c>
      <c r="H76" s="17" t="n">
        <f aca="false">F76*G76</f>
        <v>152.25</v>
      </c>
    </row>
    <row r="77" customFormat="false" ht="15" hidden="false" customHeight="false" outlineLevel="0" collapsed="false">
      <c r="A77" s="15" t="n">
        <v>45880</v>
      </c>
      <c r="B77" s="16" t="str">
        <f aca="false">TEXT(A77,"ddd")</f>
        <v>Mon</v>
      </c>
      <c r="C77" s="16" t="str">
        <f aca="false">TEXT(A77,"mmm")</f>
        <v>Aug</v>
      </c>
      <c r="D77" s="16" t="s">
        <v>36</v>
      </c>
      <c r="E77" s="16" t="str">
        <f aca="false">INDEX(Products!$B$2:$B$9,MATCH(D77,Products!$A$2:$A$9,0))</f>
        <v>Cold Drinks</v>
      </c>
      <c r="F77" s="17" t="n">
        <f aca="false">INDEX(Products!$C$2:$C$9,MATCH(D77,Products!$A$2:$A$9,0))</f>
        <v>3.95</v>
      </c>
      <c r="G77" s="18" t="n">
        <v>64</v>
      </c>
      <c r="H77" s="17" t="n">
        <f aca="false">F77*G77</f>
        <v>252.8</v>
      </c>
    </row>
    <row r="78" customFormat="false" ht="15" hidden="false" customHeight="false" outlineLevel="0" collapsed="false">
      <c r="A78" s="15" t="n">
        <v>45880</v>
      </c>
      <c r="B78" s="16" t="str">
        <f aca="false">TEXT(A78,"ddd")</f>
        <v>Mon</v>
      </c>
      <c r="C78" s="16" t="str">
        <f aca="false">TEXT(A78,"mmm")</f>
        <v>Aug</v>
      </c>
      <c r="D78" s="16" t="s">
        <v>38</v>
      </c>
      <c r="E78" s="16" t="str">
        <f aca="false">INDEX(Products!$B$2:$B$9,MATCH(D78,Products!$A$2:$A$9,0))</f>
        <v>Cold Drinks</v>
      </c>
      <c r="F78" s="17" t="n">
        <f aca="false">INDEX(Products!$C$2:$C$9,MATCH(D78,Products!$A$2:$A$9,0))</f>
        <v>4.45</v>
      </c>
      <c r="G78" s="18" t="n">
        <v>56</v>
      </c>
      <c r="H78" s="17" t="n">
        <f aca="false">F78*G78</f>
        <v>249.2</v>
      </c>
    </row>
    <row r="79" customFormat="false" ht="15" hidden="false" customHeight="false" outlineLevel="0" collapsed="false">
      <c r="A79" s="15" t="n">
        <v>45881</v>
      </c>
      <c r="B79" s="16" t="str">
        <f aca="false">TEXT(A79,"ddd")</f>
        <v>Tue</v>
      </c>
      <c r="C79" s="16" t="str">
        <f aca="false">TEXT(A79,"mmm")</f>
        <v>Aug</v>
      </c>
      <c r="D79" s="16" t="s">
        <v>28</v>
      </c>
      <c r="E79" s="16" t="str">
        <f aca="false">INDEX(Products!$B$2:$B$9,MATCH(D79,Products!$A$2:$A$9,0))</f>
        <v>Hot Espresso</v>
      </c>
      <c r="F79" s="17" t="n">
        <f aca="false">INDEX(Products!$C$2:$C$9,MATCH(D79,Products!$A$2:$A$9,0))</f>
        <v>4.95</v>
      </c>
      <c r="G79" s="18" t="n">
        <v>55</v>
      </c>
      <c r="H79" s="17" t="n">
        <f aca="false">F79*G79</f>
        <v>272.25</v>
      </c>
    </row>
    <row r="80" customFormat="false" ht="15" hidden="false" customHeight="false" outlineLevel="0" collapsed="false">
      <c r="A80" s="15" t="n">
        <v>45881</v>
      </c>
      <c r="B80" s="16" t="str">
        <f aca="false">TEXT(A80,"ddd")</f>
        <v>Tue</v>
      </c>
      <c r="C80" s="16" t="str">
        <f aca="false">TEXT(A80,"mmm")</f>
        <v>Aug</v>
      </c>
      <c r="D80" s="16" t="s">
        <v>30</v>
      </c>
      <c r="E80" s="16" t="str">
        <f aca="false">INDEX(Products!$B$2:$B$9,MATCH(D80,Products!$A$2:$A$9,0))</f>
        <v>Hot Espresso</v>
      </c>
      <c r="F80" s="17" t="n">
        <f aca="false">INDEX(Products!$C$2:$C$9,MATCH(D80,Products!$A$2:$A$9,0))</f>
        <v>4.75</v>
      </c>
      <c r="G80" s="18" t="n">
        <v>48</v>
      </c>
      <c r="H80" s="17" t="n">
        <f aca="false">F80*G80</f>
        <v>228</v>
      </c>
    </row>
    <row r="81" customFormat="false" ht="15" hidden="false" customHeight="false" outlineLevel="0" collapsed="false">
      <c r="A81" s="15" t="n">
        <v>45881</v>
      </c>
      <c r="B81" s="16" t="str">
        <f aca="false">TEXT(A81,"ddd")</f>
        <v>Tue</v>
      </c>
      <c r="C81" s="16" t="str">
        <f aca="false">TEXT(A81,"mmm")</f>
        <v>Aug</v>
      </c>
      <c r="D81" s="16" t="s">
        <v>31</v>
      </c>
      <c r="E81" s="16" t="str">
        <f aca="false">INDEX(Products!$B$2:$B$9,MATCH(D81,Products!$A$2:$A$9,0))</f>
        <v>Hot Espresso</v>
      </c>
      <c r="F81" s="17" t="n">
        <f aca="false">INDEX(Products!$C$2:$C$9,MATCH(D81,Products!$A$2:$A$9,0))</f>
        <v>5.45</v>
      </c>
      <c r="G81" s="18" t="n">
        <v>41</v>
      </c>
      <c r="H81" s="17" t="n">
        <f aca="false">F81*G81</f>
        <v>223.45</v>
      </c>
    </row>
    <row r="82" customFormat="false" ht="15" hidden="false" customHeight="false" outlineLevel="0" collapsed="false">
      <c r="A82" s="15" t="n">
        <v>45881</v>
      </c>
      <c r="B82" s="16" t="str">
        <f aca="false">TEXT(A82,"ddd")</f>
        <v>Tue</v>
      </c>
      <c r="C82" s="16" t="str">
        <f aca="false">TEXT(A82,"mmm")</f>
        <v>Aug</v>
      </c>
      <c r="D82" s="16" t="s">
        <v>32</v>
      </c>
      <c r="E82" s="16" t="str">
        <f aca="false">INDEX(Products!$B$2:$B$9,MATCH(D82,Products!$A$2:$A$9,0))</f>
        <v>Hot Espresso</v>
      </c>
      <c r="F82" s="17" t="n">
        <f aca="false">INDEX(Products!$C$2:$C$9,MATCH(D82,Products!$A$2:$A$9,0))</f>
        <v>3.75</v>
      </c>
      <c r="G82" s="18" t="n">
        <v>28</v>
      </c>
      <c r="H82" s="17" t="n">
        <f aca="false">F82*G82</f>
        <v>105</v>
      </c>
    </row>
    <row r="83" customFormat="false" ht="15" hidden="false" customHeight="false" outlineLevel="0" collapsed="false">
      <c r="A83" s="15" t="n">
        <v>45881</v>
      </c>
      <c r="B83" s="16" t="str">
        <f aca="false">TEXT(A83,"ddd")</f>
        <v>Tue</v>
      </c>
      <c r="C83" s="16" t="str">
        <f aca="false">TEXT(A83,"mmm")</f>
        <v>Aug</v>
      </c>
      <c r="D83" s="16" t="s">
        <v>33</v>
      </c>
      <c r="E83" s="16" t="str">
        <f aca="false">INDEX(Products!$B$2:$B$9,MATCH(D83,Products!$A$2:$A$9,0))</f>
        <v>Hot Espresso</v>
      </c>
      <c r="F83" s="17" t="n">
        <f aca="false">INDEX(Products!$C$2:$C$9,MATCH(D83,Products!$A$2:$A$9,0))</f>
        <v>5.25</v>
      </c>
      <c r="G83" s="18" t="n">
        <v>30</v>
      </c>
      <c r="H83" s="17" t="n">
        <f aca="false">F83*G83</f>
        <v>157.5</v>
      </c>
    </row>
    <row r="84" customFormat="false" ht="15" hidden="false" customHeight="false" outlineLevel="0" collapsed="false">
      <c r="A84" s="15" t="n">
        <v>45881</v>
      </c>
      <c r="B84" s="16" t="str">
        <f aca="false">TEXT(A84,"ddd")</f>
        <v>Tue</v>
      </c>
      <c r="C84" s="16" t="str">
        <f aca="false">TEXT(A84,"mmm")</f>
        <v>Aug</v>
      </c>
      <c r="D84" s="16" t="s">
        <v>36</v>
      </c>
      <c r="E84" s="16" t="str">
        <f aca="false">INDEX(Products!$B$2:$B$9,MATCH(D84,Products!$A$2:$A$9,0))</f>
        <v>Cold Drinks</v>
      </c>
      <c r="F84" s="17" t="n">
        <f aca="false">INDEX(Products!$C$2:$C$9,MATCH(D84,Products!$A$2:$A$9,0))</f>
        <v>3.95</v>
      </c>
      <c r="G84" s="18" t="n">
        <v>59</v>
      </c>
      <c r="H84" s="17" t="n">
        <f aca="false">F84*G84</f>
        <v>233.05</v>
      </c>
    </row>
    <row r="85" customFormat="false" ht="15" hidden="false" customHeight="false" outlineLevel="0" collapsed="false">
      <c r="A85" s="15" t="n">
        <v>45881</v>
      </c>
      <c r="B85" s="16" t="str">
        <f aca="false">TEXT(A85,"ddd")</f>
        <v>Tue</v>
      </c>
      <c r="C85" s="16" t="str">
        <f aca="false">TEXT(A85,"mmm")</f>
        <v>Aug</v>
      </c>
      <c r="D85" s="16" t="s">
        <v>38</v>
      </c>
      <c r="E85" s="16" t="str">
        <f aca="false">INDEX(Products!$B$2:$B$9,MATCH(D85,Products!$A$2:$A$9,0))</f>
        <v>Cold Drinks</v>
      </c>
      <c r="F85" s="17" t="n">
        <f aca="false">INDEX(Products!$C$2:$C$9,MATCH(D85,Products!$A$2:$A$9,0))</f>
        <v>4.45</v>
      </c>
      <c r="G85" s="18" t="n">
        <v>48</v>
      </c>
      <c r="H85" s="17" t="n">
        <f aca="false">F85*G85</f>
        <v>213.6</v>
      </c>
    </row>
    <row r="86" customFormat="false" ht="15" hidden="false" customHeight="false" outlineLevel="0" collapsed="false">
      <c r="A86" s="15" t="n">
        <v>45882</v>
      </c>
      <c r="B86" s="16" t="str">
        <f aca="false">TEXT(A86,"ddd")</f>
        <v>Wed</v>
      </c>
      <c r="C86" s="16" t="str">
        <f aca="false">TEXT(A86,"mmm")</f>
        <v>Aug</v>
      </c>
      <c r="D86" s="16" t="s">
        <v>28</v>
      </c>
      <c r="E86" s="16" t="str">
        <f aca="false">INDEX(Products!$B$2:$B$9,MATCH(D86,Products!$A$2:$A$9,0))</f>
        <v>Hot Espresso</v>
      </c>
      <c r="F86" s="17" t="n">
        <f aca="false">INDEX(Products!$C$2:$C$9,MATCH(D86,Products!$A$2:$A$9,0))</f>
        <v>4.95</v>
      </c>
      <c r="G86" s="18" t="n">
        <v>56</v>
      </c>
      <c r="H86" s="17" t="n">
        <f aca="false">F86*G86</f>
        <v>277.2</v>
      </c>
    </row>
    <row r="87" customFormat="false" ht="15" hidden="false" customHeight="false" outlineLevel="0" collapsed="false">
      <c r="A87" s="15" t="n">
        <v>45882</v>
      </c>
      <c r="B87" s="16" t="str">
        <f aca="false">TEXT(A87,"ddd")</f>
        <v>Wed</v>
      </c>
      <c r="C87" s="16" t="str">
        <f aca="false">TEXT(A87,"mmm")</f>
        <v>Aug</v>
      </c>
      <c r="D87" s="16" t="s">
        <v>30</v>
      </c>
      <c r="E87" s="16" t="str">
        <f aca="false">INDEX(Products!$B$2:$B$9,MATCH(D87,Products!$A$2:$A$9,0))</f>
        <v>Hot Espresso</v>
      </c>
      <c r="F87" s="17" t="n">
        <f aca="false">INDEX(Products!$C$2:$C$9,MATCH(D87,Products!$A$2:$A$9,0))</f>
        <v>4.75</v>
      </c>
      <c r="G87" s="18" t="n">
        <v>50</v>
      </c>
      <c r="H87" s="17" t="n">
        <f aca="false">F87*G87</f>
        <v>237.5</v>
      </c>
    </row>
    <row r="88" customFormat="false" ht="15" hidden="false" customHeight="false" outlineLevel="0" collapsed="false">
      <c r="A88" s="15" t="n">
        <v>45882</v>
      </c>
      <c r="B88" s="16" t="str">
        <f aca="false">TEXT(A88,"ddd")</f>
        <v>Wed</v>
      </c>
      <c r="C88" s="16" t="str">
        <f aca="false">TEXT(A88,"mmm")</f>
        <v>Aug</v>
      </c>
      <c r="D88" s="16" t="s">
        <v>31</v>
      </c>
      <c r="E88" s="16" t="str">
        <f aca="false">INDEX(Products!$B$2:$B$9,MATCH(D88,Products!$A$2:$A$9,0))</f>
        <v>Hot Espresso</v>
      </c>
      <c r="F88" s="17" t="n">
        <f aca="false">INDEX(Products!$C$2:$C$9,MATCH(D88,Products!$A$2:$A$9,0))</f>
        <v>5.45</v>
      </c>
      <c r="G88" s="18" t="n">
        <v>42</v>
      </c>
      <c r="H88" s="17" t="n">
        <f aca="false">F88*G88</f>
        <v>228.9</v>
      </c>
    </row>
    <row r="89" customFormat="false" ht="15" hidden="false" customHeight="false" outlineLevel="0" collapsed="false">
      <c r="A89" s="15" t="n">
        <v>45882</v>
      </c>
      <c r="B89" s="16" t="str">
        <f aca="false">TEXT(A89,"ddd")</f>
        <v>Wed</v>
      </c>
      <c r="C89" s="16" t="str">
        <f aca="false">TEXT(A89,"mmm")</f>
        <v>Aug</v>
      </c>
      <c r="D89" s="16" t="s">
        <v>32</v>
      </c>
      <c r="E89" s="16" t="str">
        <f aca="false">INDEX(Products!$B$2:$B$9,MATCH(D89,Products!$A$2:$A$9,0))</f>
        <v>Hot Espresso</v>
      </c>
      <c r="F89" s="17" t="n">
        <f aca="false">INDEX(Products!$C$2:$C$9,MATCH(D89,Products!$A$2:$A$9,0))</f>
        <v>3.75</v>
      </c>
      <c r="G89" s="18" t="n">
        <v>30</v>
      </c>
      <c r="H89" s="17" t="n">
        <f aca="false">F89*G89</f>
        <v>112.5</v>
      </c>
    </row>
    <row r="90" customFormat="false" ht="15" hidden="false" customHeight="false" outlineLevel="0" collapsed="false">
      <c r="A90" s="15" t="n">
        <v>45882</v>
      </c>
      <c r="B90" s="16" t="str">
        <f aca="false">TEXT(A90,"ddd")</f>
        <v>Wed</v>
      </c>
      <c r="C90" s="16" t="str">
        <f aca="false">TEXT(A90,"mmm")</f>
        <v>Aug</v>
      </c>
      <c r="D90" s="16" t="s">
        <v>33</v>
      </c>
      <c r="E90" s="16" t="str">
        <f aca="false">INDEX(Products!$B$2:$B$9,MATCH(D90,Products!$A$2:$A$9,0))</f>
        <v>Hot Espresso</v>
      </c>
      <c r="F90" s="17" t="n">
        <f aca="false">INDEX(Products!$C$2:$C$9,MATCH(D90,Products!$A$2:$A$9,0))</f>
        <v>5.25</v>
      </c>
      <c r="G90" s="18" t="n">
        <v>32</v>
      </c>
      <c r="H90" s="17" t="n">
        <f aca="false">F90*G90</f>
        <v>168</v>
      </c>
    </row>
    <row r="91" customFormat="false" ht="15" hidden="false" customHeight="false" outlineLevel="0" collapsed="false">
      <c r="A91" s="15" t="n">
        <v>45882</v>
      </c>
      <c r="B91" s="16" t="str">
        <f aca="false">TEXT(A91,"ddd")</f>
        <v>Wed</v>
      </c>
      <c r="C91" s="16" t="str">
        <f aca="false">TEXT(A91,"mmm")</f>
        <v>Aug</v>
      </c>
      <c r="D91" s="16" t="s">
        <v>36</v>
      </c>
      <c r="E91" s="16" t="str">
        <f aca="false">INDEX(Products!$B$2:$B$9,MATCH(D91,Products!$A$2:$A$9,0))</f>
        <v>Cold Drinks</v>
      </c>
      <c r="F91" s="17" t="n">
        <f aca="false">INDEX(Products!$C$2:$C$9,MATCH(D91,Products!$A$2:$A$9,0))</f>
        <v>3.95</v>
      </c>
      <c r="G91" s="18" t="n">
        <v>69</v>
      </c>
      <c r="H91" s="17" t="n">
        <f aca="false">F91*G91</f>
        <v>272.55</v>
      </c>
    </row>
    <row r="92" customFormat="false" ht="15" hidden="false" customHeight="false" outlineLevel="0" collapsed="false">
      <c r="A92" s="15" t="n">
        <v>45882</v>
      </c>
      <c r="B92" s="16" t="str">
        <f aca="false">TEXT(A92,"ddd")</f>
        <v>Wed</v>
      </c>
      <c r="C92" s="16" t="str">
        <f aca="false">TEXT(A92,"mmm")</f>
        <v>Aug</v>
      </c>
      <c r="D92" s="16" t="s">
        <v>38</v>
      </c>
      <c r="E92" s="16" t="str">
        <f aca="false">INDEX(Products!$B$2:$B$9,MATCH(D92,Products!$A$2:$A$9,0))</f>
        <v>Cold Drinks</v>
      </c>
      <c r="F92" s="17" t="n">
        <f aca="false">INDEX(Products!$C$2:$C$9,MATCH(D92,Products!$A$2:$A$9,0))</f>
        <v>4.45</v>
      </c>
      <c r="G92" s="18" t="n">
        <v>56</v>
      </c>
      <c r="H92" s="17" t="n">
        <f aca="false">F92*G92</f>
        <v>249.2</v>
      </c>
    </row>
    <row r="93" customFormat="false" ht="15" hidden="false" customHeight="false" outlineLevel="0" collapsed="false">
      <c r="A93" s="15" t="n">
        <v>45883</v>
      </c>
      <c r="B93" s="16" t="str">
        <f aca="false">TEXT(A93,"ddd")</f>
        <v>Thu</v>
      </c>
      <c r="C93" s="16" t="str">
        <f aca="false">TEXT(A93,"mmm")</f>
        <v>Aug</v>
      </c>
      <c r="D93" s="16" t="s">
        <v>28</v>
      </c>
      <c r="E93" s="16" t="str">
        <f aca="false">INDEX(Products!$B$2:$B$9,MATCH(D93,Products!$A$2:$A$9,0))</f>
        <v>Hot Espresso</v>
      </c>
      <c r="F93" s="17" t="n">
        <f aca="false">INDEX(Products!$C$2:$C$9,MATCH(D93,Products!$A$2:$A$9,0))</f>
        <v>4.95</v>
      </c>
      <c r="G93" s="18" t="n">
        <v>63</v>
      </c>
      <c r="H93" s="17" t="n">
        <f aca="false">F93*G93</f>
        <v>311.85</v>
      </c>
    </row>
    <row r="94" customFormat="false" ht="15" hidden="false" customHeight="false" outlineLevel="0" collapsed="false">
      <c r="A94" s="15" t="n">
        <v>45883</v>
      </c>
      <c r="B94" s="16" t="str">
        <f aca="false">TEXT(A94,"ddd")</f>
        <v>Thu</v>
      </c>
      <c r="C94" s="16" t="str">
        <f aca="false">TEXT(A94,"mmm")</f>
        <v>Aug</v>
      </c>
      <c r="D94" s="16" t="s">
        <v>30</v>
      </c>
      <c r="E94" s="16" t="str">
        <f aca="false">INDEX(Products!$B$2:$B$9,MATCH(D94,Products!$A$2:$A$9,0))</f>
        <v>Hot Espresso</v>
      </c>
      <c r="F94" s="17" t="n">
        <f aca="false">INDEX(Products!$C$2:$C$9,MATCH(D94,Products!$A$2:$A$9,0))</f>
        <v>4.75</v>
      </c>
      <c r="G94" s="18" t="n">
        <v>49</v>
      </c>
      <c r="H94" s="17" t="n">
        <f aca="false">F94*G94</f>
        <v>232.75</v>
      </c>
    </row>
    <row r="95" customFormat="false" ht="15" hidden="false" customHeight="false" outlineLevel="0" collapsed="false">
      <c r="A95" s="15" t="n">
        <v>45883</v>
      </c>
      <c r="B95" s="16" t="str">
        <f aca="false">TEXT(A95,"ddd")</f>
        <v>Thu</v>
      </c>
      <c r="C95" s="16" t="str">
        <f aca="false">TEXT(A95,"mmm")</f>
        <v>Aug</v>
      </c>
      <c r="D95" s="16" t="s">
        <v>31</v>
      </c>
      <c r="E95" s="16" t="str">
        <f aca="false">INDEX(Products!$B$2:$B$9,MATCH(D95,Products!$A$2:$A$9,0))</f>
        <v>Hot Espresso</v>
      </c>
      <c r="F95" s="17" t="n">
        <f aca="false">INDEX(Products!$C$2:$C$9,MATCH(D95,Products!$A$2:$A$9,0))</f>
        <v>5.45</v>
      </c>
      <c r="G95" s="18" t="n">
        <v>36</v>
      </c>
      <c r="H95" s="17" t="n">
        <f aca="false">F95*G95</f>
        <v>196.2</v>
      </c>
    </row>
    <row r="96" customFormat="false" ht="15" hidden="false" customHeight="false" outlineLevel="0" collapsed="false">
      <c r="A96" s="15" t="n">
        <v>45883</v>
      </c>
      <c r="B96" s="16" t="str">
        <f aca="false">TEXT(A96,"ddd")</f>
        <v>Thu</v>
      </c>
      <c r="C96" s="16" t="str">
        <f aca="false">TEXT(A96,"mmm")</f>
        <v>Aug</v>
      </c>
      <c r="D96" s="16" t="s">
        <v>32</v>
      </c>
      <c r="E96" s="16" t="str">
        <f aca="false">INDEX(Products!$B$2:$B$9,MATCH(D96,Products!$A$2:$A$9,0))</f>
        <v>Hot Espresso</v>
      </c>
      <c r="F96" s="17" t="n">
        <f aca="false">INDEX(Products!$C$2:$C$9,MATCH(D96,Products!$A$2:$A$9,0))</f>
        <v>3.75</v>
      </c>
      <c r="G96" s="18" t="n">
        <v>32</v>
      </c>
      <c r="H96" s="17" t="n">
        <f aca="false">F96*G96</f>
        <v>120</v>
      </c>
    </row>
    <row r="97" customFormat="false" ht="15" hidden="false" customHeight="false" outlineLevel="0" collapsed="false">
      <c r="A97" s="15" t="n">
        <v>45883</v>
      </c>
      <c r="B97" s="16" t="str">
        <f aca="false">TEXT(A97,"ddd")</f>
        <v>Thu</v>
      </c>
      <c r="C97" s="16" t="str">
        <f aca="false">TEXT(A97,"mmm")</f>
        <v>Aug</v>
      </c>
      <c r="D97" s="16" t="s">
        <v>33</v>
      </c>
      <c r="E97" s="16" t="str">
        <f aca="false">INDEX(Products!$B$2:$B$9,MATCH(D97,Products!$A$2:$A$9,0))</f>
        <v>Hot Espresso</v>
      </c>
      <c r="F97" s="17" t="n">
        <f aca="false">INDEX(Products!$C$2:$C$9,MATCH(D97,Products!$A$2:$A$9,0))</f>
        <v>5.25</v>
      </c>
      <c r="G97" s="18" t="n">
        <v>32</v>
      </c>
      <c r="H97" s="17" t="n">
        <f aca="false">F97*G97</f>
        <v>168</v>
      </c>
    </row>
    <row r="98" customFormat="false" ht="15" hidden="false" customHeight="false" outlineLevel="0" collapsed="false">
      <c r="A98" s="15" t="n">
        <v>45883</v>
      </c>
      <c r="B98" s="16" t="str">
        <f aca="false">TEXT(A98,"ddd")</f>
        <v>Thu</v>
      </c>
      <c r="C98" s="16" t="str">
        <f aca="false">TEXT(A98,"mmm")</f>
        <v>Aug</v>
      </c>
      <c r="D98" s="16" t="s">
        <v>36</v>
      </c>
      <c r="E98" s="16" t="str">
        <f aca="false">INDEX(Products!$B$2:$B$9,MATCH(D98,Products!$A$2:$A$9,0))</f>
        <v>Cold Drinks</v>
      </c>
      <c r="F98" s="17" t="n">
        <f aca="false">INDEX(Products!$C$2:$C$9,MATCH(D98,Products!$A$2:$A$9,0))</f>
        <v>3.95</v>
      </c>
      <c r="G98" s="18" t="n">
        <v>75</v>
      </c>
      <c r="H98" s="17" t="n">
        <f aca="false">F98*G98</f>
        <v>296.25</v>
      </c>
    </row>
    <row r="99" customFormat="false" ht="15" hidden="false" customHeight="false" outlineLevel="0" collapsed="false">
      <c r="A99" s="15" t="n">
        <v>45883</v>
      </c>
      <c r="B99" s="16" t="str">
        <f aca="false">TEXT(A99,"ddd")</f>
        <v>Thu</v>
      </c>
      <c r="C99" s="16" t="str">
        <f aca="false">TEXT(A99,"mmm")</f>
        <v>Aug</v>
      </c>
      <c r="D99" s="16" t="s">
        <v>38</v>
      </c>
      <c r="E99" s="16" t="str">
        <f aca="false">INDEX(Products!$B$2:$B$9,MATCH(D99,Products!$A$2:$A$9,0))</f>
        <v>Cold Drinks</v>
      </c>
      <c r="F99" s="17" t="n">
        <f aca="false">INDEX(Products!$C$2:$C$9,MATCH(D99,Products!$A$2:$A$9,0))</f>
        <v>4.45</v>
      </c>
      <c r="G99" s="18" t="n">
        <v>51</v>
      </c>
      <c r="H99" s="17" t="n">
        <f aca="false">F99*G99</f>
        <v>226.95</v>
      </c>
    </row>
    <row r="100" customFormat="false" ht="15" hidden="false" customHeight="false" outlineLevel="0" collapsed="false">
      <c r="A100" s="15" t="n">
        <v>45884</v>
      </c>
      <c r="B100" s="16" t="str">
        <f aca="false">TEXT(A100,"ddd")</f>
        <v>Fri</v>
      </c>
      <c r="C100" s="16" t="str">
        <f aca="false">TEXT(A100,"mmm")</f>
        <v>Aug</v>
      </c>
      <c r="D100" s="16" t="s">
        <v>28</v>
      </c>
      <c r="E100" s="16" t="str">
        <f aca="false">INDEX(Products!$B$2:$B$9,MATCH(D100,Products!$A$2:$A$9,0))</f>
        <v>Hot Espresso</v>
      </c>
      <c r="F100" s="17" t="n">
        <f aca="false">INDEX(Products!$C$2:$C$9,MATCH(D100,Products!$A$2:$A$9,0))</f>
        <v>4.95</v>
      </c>
      <c r="G100" s="18" t="n">
        <v>68</v>
      </c>
      <c r="H100" s="17" t="n">
        <f aca="false">F100*G100</f>
        <v>336.6</v>
      </c>
    </row>
    <row r="101" customFormat="false" ht="15" hidden="false" customHeight="false" outlineLevel="0" collapsed="false">
      <c r="A101" s="15" t="n">
        <v>45884</v>
      </c>
      <c r="B101" s="16" t="str">
        <f aca="false">TEXT(A101,"ddd")</f>
        <v>Fri</v>
      </c>
      <c r="C101" s="16" t="str">
        <f aca="false">TEXT(A101,"mmm")</f>
        <v>Aug</v>
      </c>
      <c r="D101" s="16" t="s">
        <v>30</v>
      </c>
      <c r="E101" s="16" t="str">
        <f aca="false">INDEX(Products!$B$2:$B$9,MATCH(D101,Products!$A$2:$A$9,0))</f>
        <v>Hot Espresso</v>
      </c>
      <c r="F101" s="17" t="n">
        <f aca="false">INDEX(Products!$C$2:$C$9,MATCH(D101,Products!$A$2:$A$9,0))</f>
        <v>4.75</v>
      </c>
      <c r="G101" s="18" t="n">
        <v>47</v>
      </c>
      <c r="H101" s="17" t="n">
        <f aca="false">F101*G101</f>
        <v>223.25</v>
      </c>
    </row>
    <row r="102" customFormat="false" ht="15" hidden="false" customHeight="false" outlineLevel="0" collapsed="false">
      <c r="A102" s="15" t="n">
        <v>45884</v>
      </c>
      <c r="B102" s="16" t="str">
        <f aca="false">TEXT(A102,"ddd")</f>
        <v>Fri</v>
      </c>
      <c r="C102" s="16" t="str">
        <f aca="false">TEXT(A102,"mmm")</f>
        <v>Aug</v>
      </c>
      <c r="D102" s="16" t="s">
        <v>31</v>
      </c>
      <c r="E102" s="16" t="str">
        <f aca="false">INDEX(Products!$B$2:$B$9,MATCH(D102,Products!$A$2:$A$9,0))</f>
        <v>Hot Espresso</v>
      </c>
      <c r="F102" s="17" t="n">
        <f aca="false">INDEX(Products!$C$2:$C$9,MATCH(D102,Products!$A$2:$A$9,0))</f>
        <v>5.45</v>
      </c>
      <c r="G102" s="18" t="n">
        <v>44</v>
      </c>
      <c r="H102" s="17" t="n">
        <f aca="false">F102*G102</f>
        <v>239.8</v>
      </c>
    </row>
    <row r="103" customFormat="false" ht="15" hidden="false" customHeight="false" outlineLevel="0" collapsed="false">
      <c r="A103" s="15" t="n">
        <v>45884</v>
      </c>
      <c r="B103" s="16" t="str">
        <f aca="false">TEXT(A103,"ddd")</f>
        <v>Fri</v>
      </c>
      <c r="C103" s="16" t="str">
        <f aca="false">TEXT(A103,"mmm")</f>
        <v>Aug</v>
      </c>
      <c r="D103" s="16" t="s">
        <v>32</v>
      </c>
      <c r="E103" s="16" t="str">
        <f aca="false">INDEX(Products!$B$2:$B$9,MATCH(D103,Products!$A$2:$A$9,0))</f>
        <v>Hot Espresso</v>
      </c>
      <c r="F103" s="17" t="n">
        <f aca="false">INDEX(Products!$C$2:$C$9,MATCH(D103,Products!$A$2:$A$9,0))</f>
        <v>3.75</v>
      </c>
      <c r="G103" s="18" t="n">
        <v>30</v>
      </c>
      <c r="H103" s="17" t="n">
        <f aca="false">F103*G103</f>
        <v>112.5</v>
      </c>
    </row>
    <row r="104" customFormat="false" ht="15" hidden="false" customHeight="false" outlineLevel="0" collapsed="false">
      <c r="A104" s="15" t="n">
        <v>45884</v>
      </c>
      <c r="B104" s="16" t="str">
        <f aca="false">TEXT(A104,"ddd")</f>
        <v>Fri</v>
      </c>
      <c r="C104" s="16" t="str">
        <f aca="false">TEXT(A104,"mmm")</f>
        <v>Aug</v>
      </c>
      <c r="D104" s="16" t="s">
        <v>33</v>
      </c>
      <c r="E104" s="16" t="str">
        <f aca="false">INDEX(Products!$B$2:$B$9,MATCH(D104,Products!$A$2:$A$9,0))</f>
        <v>Hot Espresso</v>
      </c>
      <c r="F104" s="17" t="n">
        <f aca="false">INDEX(Products!$C$2:$C$9,MATCH(D104,Products!$A$2:$A$9,0))</f>
        <v>5.25</v>
      </c>
      <c r="G104" s="18" t="n">
        <v>30</v>
      </c>
      <c r="H104" s="17" t="n">
        <f aca="false">F104*G104</f>
        <v>157.5</v>
      </c>
    </row>
    <row r="105" customFormat="false" ht="15" hidden="false" customHeight="false" outlineLevel="0" collapsed="false">
      <c r="A105" s="15" t="n">
        <v>45884</v>
      </c>
      <c r="B105" s="16" t="str">
        <f aca="false">TEXT(A105,"ddd")</f>
        <v>Fri</v>
      </c>
      <c r="C105" s="16" t="str">
        <f aca="false">TEXT(A105,"mmm")</f>
        <v>Aug</v>
      </c>
      <c r="D105" s="16" t="s">
        <v>36</v>
      </c>
      <c r="E105" s="16" t="str">
        <f aca="false">INDEX(Products!$B$2:$B$9,MATCH(D105,Products!$A$2:$A$9,0))</f>
        <v>Cold Drinks</v>
      </c>
      <c r="F105" s="17" t="n">
        <f aca="false">INDEX(Products!$C$2:$C$9,MATCH(D105,Products!$A$2:$A$9,0))</f>
        <v>3.95</v>
      </c>
      <c r="G105" s="18" t="n">
        <v>61</v>
      </c>
      <c r="H105" s="17" t="n">
        <f aca="false">F105*G105</f>
        <v>240.95</v>
      </c>
    </row>
    <row r="106" customFormat="false" ht="15" hidden="false" customHeight="false" outlineLevel="0" collapsed="false">
      <c r="A106" s="15" t="n">
        <v>45884</v>
      </c>
      <c r="B106" s="16" t="str">
        <f aca="false">TEXT(A106,"ddd")</f>
        <v>Fri</v>
      </c>
      <c r="C106" s="16" t="str">
        <f aca="false">TEXT(A106,"mmm")</f>
        <v>Aug</v>
      </c>
      <c r="D106" s="16" t="s">
        <v>38</v>
      </c>
      <c r="E106" s="16" t="str">
        <f aca="false">INDEX(Products!$B$2:$B$9,MATCH(D106,Products!$A$2:$A$9,0))</f>
        <v>Cold Drinks</v>
      </c>
      <c r="F106" s="17" t="n">
        <f aca="false">INDEX(Products!$C$2:$C$9,MATCH(D106,Products!$A$2:$A$9,0))</f>
        <v>4.45</v>
      </c>
      <c r="G106" s="18" t="n">
        <v>51</v>
      </c>
      <c r="H106" s="17" t="n">
        <f aca="false">F106*G106</f>
        <v>226.95</v>
      </c>
    </row>
    <row r="107" customFormat="false" ht="15" hidden="false" customHeight="false" outlineLevel="0" collapsed="false">
      <c r="A107" s="15" t="n">
        <v>45885</v>
      </c>
      <c r="B107" s="16" t="str">
        <f aca="false">TEXT(A107,"ddd")</f>
        <v>Sat</v>
      </c>
      <c r="C107" s="16" t="str">
        <f aca="false">TEXT(A107,"mmm")</f>
        <v>Aug</v>
      </c>
      <c r="D107" s="16" t="s">
        <v>28</v>
      </c>
      <c r="E107" s="16" t="str">
        <f aca="false">INDEX(Products!$B$2:$B$9,MATCH(D107,Products!$A$2:$A$9,0))</f>
        <v>Hot Espresso</v>
      </c>
      <c r="F107" s="17" t="n">
        <f aca="false">INDEX(Products!$C$2:$C$9,MATCH(D107,Products!$A$2:$A$9,0))</f>
        <v>4.95</v>
      </c>
      <c r="G107" s="18" t="n">
        <v>77</v>
      </c>
      <c r="H107" s="17" t="n">
        <f aca="false">F107*G107</f>
        <v>381.15</v>
      </c>
    </row>
    <row r="108" customFormat="false" ht="15" hidden="false" customHeight="false" outlineLevel="0" collapsed="false">
      <c r="A108" s="15" t="n">
        <v>45885</v>
      </c>
      <c r="B108" s="16" t="str">
        <f aca="false">TEXT(A108,"ddd")</f>
        <v>Sat</v>
      </c>
      <c r="C108" s="16" t="str">
        <f aca="false">TEXT(A108,"mmm")</f>
        <v>Aug</v>
      </c>
      <c r="D108" s="16" t="s">
        <v>30</v>
      </c>
      <c r="E108" s="16" t="str">
        <f aca="false">INDEX(Products!$B$2:$B$9,MATCH(D108,Products!$A$2:$A$9,0))</f>
        <v>Hot Espresso</v>
      </c>
      <c r="F108" s="17" t="n">
        <f aca="false">INDEX(Products!$C$2:$C$9,MATCH(D108,Products!$A$2:$A$9,0))</f>
        <v>4.75</v>
      </c>
      <c r="G108" s="18" t="n">
        <v>60</v>
      </c>
      <c r="H108" s="17" t="n">
        <f aca="false">F108*G108</f>
        <v>285</v>
      </c>
    </row>
    <row r="109" customFormat="false" ht="15" hidden="false" customHeight="false" outlineLevel="0" collapsed="false">
      <c r="A109" s="15" t="n">
        <v>45885</v>
      </c>
      <c r="B109" s="16" t="str">
        <f aca="false">TEXT(A109,"ddd")</f>
        <v>Sat</v>
      </c>
      <c r="C109" s="16" t="str">
        <f aca="false">TEXT(A109,"mmm")</f>
        <v>Aug</v>
      </c>
      <c r="D109" s="16" t="s">
        <v>31</v>
      </c>
      <c r="E109" s="16" t="str">
        <f aca="false">INDEX(Products!$B$2:$B$9,MATCH(D109,Products!$A$2:$A$9,0))</f>
        <v>Hot Espresso</v>
      </c>
      <c r="F109" s="17" t="n">
        <f aca="false">INDEX(Products!$C$2:$C$9,MATCH(D109,Products!$A$2:$A$9,0))</f>
        <v>5.45</v>
      </c>
      <c r="G109" s="18" t="n">
        <v>48</v>
      </c>
      <c r="H109" s="17" t="n">
        <f aca="false">F109*G109</f>
        <v>261.6</v>
      </c>
    </row>
    <row r="110" customFormat="false" ht="15" hidden="false" customHeight="false" outlineLevel="0" collapsed="false">
      <c r="A110" s="15" t="n">
        <v>45885</v>
      </c>
      <c r="B110" s="16" t="str">
        <f aca="false">TEXT(A110,"ddd")</f>
        <v>Sat</v>
      </c>
      <c r="C110" s="16" t="str">
        <f aca="false">TEXT(A110,"mmm")</f>
        <v>Aug</v>
      </c>
      <c r="D110" s="16" t="s">
        <v>32</v>
      </c>
      <c r="E110" s="16" t="str">
        <f aca="false">INDEX(Products!$B$2:$B$9,MATCH(D110,Products!$A$2:$A$9,0))</f>
        <v>Hot Espresso</v>
      </c>
      <c r="F110" s="17" t="n">
        <f aca="false">INDEX(Products!$C$2:$C$9,MATCH(D110,Products!$A$2:$A$9,0))</f>
        <v>3.75</v>
      </c>
      <c r="G110" s="18" t="n">
        <v>29</v>
      </c>
      <c r="H110" s="17" t="n">
        <f aca="false">F110*G110</f>
        <v>108.75</v>
      </c>
    </row>
    <row r="111" customFormat="false" ht="15" hidden="false" customHeight="false" outlineLevel="0" collapsed="false">
      <c r="A111" s="15" t="n">
        <v>45885</v>
      </c>
      <c r="B111" s="16" t="str">
        <f aca="false">TEXT(A111,"ddd")</f>
        <v>Sat</v>
      </c>
      <c r="C111" s="16" t="str">
        <f aca="false">TEXT(A111,"mmm")</f>
        <v>Aug</v>
      </c>
      <c r="D111" s="16" t="s">
        <v>33</v>
      </c>
      <c r="E111" s="16" t="str">
        <f aca="false">INDEX(Products!$B$2:$B$9,MATCH(D111,Products!$A$2:$A$9,0))</f>
        <v>Hot Espresso</v>
      </c>
      <c r="F111" s="17" t="n">
        <f aca="false">INDEX(Products!$C$2:$C$9,MATCH(D111,Products!$A$2:$A$9,0))</f>
        <v>5.25</v>
      </c>
      <c r="G111" s="18" t="n">
        <v>39</v>
      </c>
      <c r="H111" s="17" t="n">
        <f aca="false">F111*G111</f>
        <v>204.75</v>
      </c>
    </row>
    <row r="112" customFormat="false" ht="15" hidden="false" customHeight="false" outlineLevel="0" collapsed="false">
      <c r="A112" s="15" t="n">
        <v>45885</v>
      </c>
      <c r="B112" s="16" t="str">
        <f aca="false">TEXT(A112,"ddd")</f>
        <v>Sat</v>
      </c>
      <c r="C112" s="16" t="str">
        <f aca="false">TEXT(A112,"mmm")</f>
        <v>Aug</v>
      </c>
      <c r="D112" s="16" t="s">
        <v>36</v>
      </c>
      <c r="E112" s="16" t="str">
        <f aca="false">INDEX(Products!$B$2:$B$9,MATCH(D112,Products!$A$2:$A$9,0))</f>
        <v>Cold Drinks</v>
      </c>
      <c r="F112" s="17" t="n">
        <f aca="false">INDEX(Products!$C$2:$C$9,MATCH(D112,Products!$A$2:$A$9,0))</f>
        <v>3.95</v>
      </c>
      <c r="G112" s="18" t="n">
        <v>83</v>
      </c>
      <c r="H112" s="17" t="n">
        <f aca="false">F112*G112</f>
        <v>327.85</v>
      </c>
    </row>
    <row r="113" customFormat="false" ht="15" hidden="false" customHeight="false" outlineLevel="0" collapsed="false">
      <c r="A113" s="15" t="n">
        <v>45885</v>
      </c>
      <c r="B113" s="16" t="str">
        <f aca="false">TEXT(A113,"ddd")</f>
        <v>Sat</v>
      </c>
      <c r="C113" s="16" t="str">
        <f aca="false">TEXT(A113,"mmm")</f>
        <v>Aug</v>
      </c>
      <c r="D113" s="16" t="s">
        <v>38</v>
      </c>
      <c r="E113" s="16" t="str">
        <f aca="false">INDEX(Products!$B$2:$B$9,MATCH(D113,Products!$A$2:$A$9,0))</f>
        <v>Cold Drinks</v>
      </c>
      <c r="F113" s="17" t="n">
        <f aca="false">INDEX(Products!$C$2:$C$9,MATCH(D113,Products!$A$2:$A$9,0))</f>
        <v>4.45</v>
      </c>
      <c r="G113" s="18" t="n">
        <v>58</v>
      </c>
      <c r="H113" s="17" t="n">
        <f aca="false">F113*G113</f>
        <v>258.1</v>
      </c>
    </row>
    <row r="114" customFormat="false" ht="15" hidden="false" customHeight="false" outlineLevel="0" collapsed="false">
      <c r="A114" s="15" t="n">
        <v>45886</v>
      </c>
      <c r="B114" s="16" t="str">
        <f aca="false">TEXT(A114,"ddd")</f>
        <v>Sun</v>
      </c>
      <c r="C114" s="16" t="str">
        <f aca="false">TEXT(A114,"mmm")</f>
        <v>Aug</v>
      </c>
      <c r="D114" s="16" t="s">
        <v>28</v>
      </c>
      <c r="E114" s="16" t="str">
        <f aca="false">INDEX(Products!$B$2:$B$9,MATCH(D114,Products!$A$2:$A$9,0))</f>
        <v>Hot Espresso</v>
      </c>
      <c r="F114" s="17" t="n">
        <f aca="false">INDEX(Products!$C$2:$C$9,MATCH(D114,Products!$A$2:$A$9,0))</f>
        <v>4.95</v>
      </c>
      <c r="G114" s="18" t="n">
        <v>62</v>
      </c>
      <c r="H114" s="17" t="n">
        <f aca="false">F114*G114</f>
        <v>306.9</v>
      </c>
    </row>
    <row r="115" customFormat="false" ht="15" hidden="false" customHeight="false" outlineLevel="0" collapsed="false">
      <c r="A115" s="15" t="n">
        <v>45886</v>
      </c>
      <c r="B115" s="16" t="str">
        <f aca="false">TEXT(A115,"ddd")</f>
        <v>Sun</v>
      </c>
      <c r="C115" s="16" t="str">
        <f aca="false">TEXT(A115,"mmm")</f>
        <v>Aug</v>
      </c>
      <c r="D115" s="16" t="s">
        <v>30</v>
      </c>
      <c r="E115" s="16" t="str">
        <f aca="false">INDEX(Products!$B$2:$B$9,MATCH(D115,Products!$A$2:$A$9,0))</f>
        <v>Hot Espresso</v>
      </c>
      <c r="F115" s="17" t="n">
        <f aca="false">INDEX(Products!$C$2:$C$9,MATCH(D115,Products!$A$2:$A$9,0))</f>
        <v>4.75</v>
      </c>
      <c r="G115" s="18" t="n">
        <v>53</v>
      </c>
      <c r="H115" s="17" t="n">
        <f aca="false">F115*G115</f>
        <v>251.75</v>
      </c>
    </row>
    <row r="116" customFormat="false" ht="15" hidden="false" customHeight="false" outlineLevel="0" collapsed="false">
      <c r="A116" s="15" t="n">
        <v>45886</v>
      </c>
      <c r="B116" s="16" t="str">
        <f aca="false">TEXT(A116,"ddd")</f>
        <v>Sun</v>
      </c>
      <c r="C116" s="16" t="str">
        <f aca="false">TEXT(A116,"mmm")</f>
        <v>Aug</v>
      </c>
      <c r="D116" s="16" t="s">
        <v>31</v>
      </c>
      <c r="E116" s="16" t="str">
        <f aca="false">INDEX(Products!$B$2:$B$9,MATCH(D116,Products!$A$2:$A$9,0))</f>
        <v>Hot Espresso</v>
      </c>
      <c r="F116" s="17" t="n">
        <f aca="false">INDEX(Products!$C$2:$C$9,MATCH(D116,Products!$A$2:$A$9,0))</f>
        <v>5.45</v>
      </c>
      <c r="G116" s="18" t="n">
        <v>49</v>
      </c>
      <c r="H116" s="17" t="n">
        <f aca="false">F116*G116</f>
        <v>267.05</v>
      </c>
    </row>
    <row r="117" customFormat="false" ht="15" hidden="false" customHeight="false" outlineLevel="0" collapsed="false">
      <c r="A117" s="15" t="n">
        <v>45886</v>
      </c>
      <c r="B117" s="16" t="str">
        <f aca="false">TEXT(A117,"ddd")</f>
        <v>Sun</v>
      </c>
      <c r="C117" s="16" t="str">
        <f aca="false">TEXT(A117,"mmm")</f>
        <v>Aug</v>
      </c>
      <c r="D117" s="16" t="s">
        <v>32</v>
      </c>
      <c r="E117" s="16" t="str">
        <f aca="false">INDEX(Products!$B$2:$B$9,MATCH(D117,Products!$A$2:$A$9,0))</f>
        <v>Hot Espresso</v>
      </c>
      <c r="F117" s="17" t="n">
        <f aca="false">INDEX(Products!$C$2:$C$9,MATCH(D117,Products!$A$2:$A$9,0))</f>
        <v>3.75</v>
      </c>
      <c r="G117" s="18" t="n">
        <v>30</v>
      </c>
      <c r="H117" s="17" t="n">
        <f aca="false">F117*G117</f>
        <v>112.5</v>
      </c>
    </row>
    <row r="118" customFormat="false" ht="15" hidden="false" customHeight="false" outlineLevel="0" collapsed="false">
      <c r="A118" s="15" t="n">
        <v>45886</v>
      </c>
      <c r="B118" s="16" t="str">
        <f aca="false">TEXT(A118,"ddd")</f>
        <v>Sun</v>
      </c>
      <c r="C118" s="16" t="str">
        <f aca="false">TEXT(A118,"mmm")</f>
        <v>Aug</v>
      </c>
      <c r="D118" s="16" t="s">
        <v>33</v>
      </c>
      <c r="E118" s="16" t="str">
        <f aca="false">INDEX(Products!$B$2:$B$9,MATCH(D118,Products!$A$2:$A$9,0))</f>
        <v>Hot Espresso</v>
      </c>
      <c r="F118" s="17" t="n">
        <f aca="false">INDEX(Products!$C$2:$C$9,MATCH(D118,Products!$A$2:$A$9,0))</f>
        <v>5.25</v>
      </c>
      <c r="G118" s="18" t="n">
        <v>33</v>
      </c>
      <c r="H118" s="17" t="n">
        <f aca="false">F118*G118</f>
        <v>173.25</v>
      </c>
    </row>
    <row r="119" customFormat="false" ht="15" hidden="false" customHeight="false" outlineLevel="0" collapsed="false">
      <c r="A119" s="15" t="n">
        <v>45886</v>
      </c>
      <c r="B119" s="16" t="str">
        <f aca="false">TEXT(A119,"ddd")</f>
        <v>Sun</v>
      </c>
      <c r="C119" s="16" t="str">
        <f aca="false">TEXT(A119,"mmm")</f>
        <v>Aug</v>
      </c>
      <c r="D119" s="16" t="s">
        <v>36</v>
      </c>
      <c r="E119" s="16" t="str">
        <f aca="false">INDEX(Products!$B$2:$B$9,MATCH(D119,Products!$A$2:$A$9,0))</f>
        <v>Cold Drinks</v>
      </c>
      <c r="F119" s="17" t="n">
        <f aca="false">INDEX(Products!$C$2:$C$9,MATCH(D119,Products!$A$2:$A$9,0))</f>
        <v>3.95</v>
      </c>
      <c r="G119" s="18" t="n">
        <v>82</v>
      </c>
      <c r="H119" s="17" t="n">
        <f aca="false">F119*G119</f>
        <v>323.9</v>
      </c>
    </row>
    <row r="120" customFormat="false" ht="15" hidden="false" customHeight="false" outlineLevel="0" collapsed="false">
      <c r="A120" s="15" t="n">
        <v>45886</v>
      </c>
      <c r="B120" s="16" t="str">
        <f aca="false">TEXT(A120,"ddd")</f>
        <v>Sun</v>
      </c>
      <c r="C120" s="16" t="str">
        <f aca="false">TEXT(A120,"mmm")</f>
        <v>Aug</v>
      </c>
      <c r="D120" s="16" t="s">
        <v>38</v>
      </c>
      <c r="E120" s="16" t="str">
        <f aca="false">INDEX(Products!$B$2:$B$9,MATCH(D120,Products!$A$2:$A$9,0))</f>
        <v>Cold Drinks</v>
      </c>
      <c r="F120" s="17" t="n">
        <f aca="false">INDEX(Products!$C$2:$C$9,MATCH(D120,Products!$A$2:$A$9,0))</f>
        <v>4.45</v>
      </c>
      <c r="G120" s="18" t="n">
        <v>54</v>
      </c>
      <c r="H120" s="17" t="n">
        <f aca="false">F120*G120</f>
        <v>240.3</v>
      </c>
    </row>
    <row r="121" customFormat="false" ht="15" hidden="false" customHeight="false" outlineLevel="0" collapsed="false">
      <c r="A121" s="15" t="n">
        <v>45887</v>
      </c>
      <c r="B121" s="16" t="str">
        <f aca="false">TEXT(A121,"ddd")</f>
        <v>Mon</v>
      </c>
      <c r="C121" s="16" t="str">
        <f aca="false">TEXT(A121,"mmm")</f>
        <v>Aug</v>
      </c>
      <c r="D121" s="16" t="s">
        <v>28</v>
      </c>
      <c r="E121" s="16" t="str">
        <f aca="false">INDEX(Products!$B$2:$B$9,MATCH(D121,Products!$A$2:$A$9,0))</f>
        <v>Hot Espresso</v>
      </c>
      <c r="F121" s="17" t="n">
        <f aca="false">INDEX(Products!$C$2:$C$9,MATCH(D121,Products!$A$2:$A$9,0))</f>
        <v>4.95</v>
      </c>
      <c r="G121" s="18" t="n">
        <v>58</v>
      </c>
      <c r="H121" s="17" t="n">
        <f aca="false">F121*G121</f>
        <v>287.1</v>
      </c>
    </row>
    <row r="122" customFormat="false" ht="15" hidden="false" customHeight="false" outlineLevel="0" collapsed="false">
      <c r="A122" s="15" t="n">
        <v>45887</v>
      </c>
      <c r="B122" s="16" t="str">
        <f aca="false">TEXT(A122,"ddd")</f>
        <v>Mon</v>
      </c>
      <c r="C122" s="16" t="str">
        <f aca="false">TEXT(A122,"mmm")</f>
        <v>Aug</v>
      </c>
      <c r="D122" s="16" t="s">
        <v>30</v>
      </c>
      <c r="E122" s="16" t="str">
        <f aca="false">INDEX(Products!$B$2:$B$9,MATCH(D122,Products!$A$2:$A$9,0))</f>
        <v>Hot Espresso</v>
      </c>
      <c r="F122" s="17" t="n">
        <f aca="false">INDEX(Products!$C$2:$C$9,MATCH(D122,Products!$A$2:$A$9,0))</f>
        <v>4.75</v>
      </c>
      <c r="G122" s="18" t="n">
        <v>48</v>
      </c>
      <c r="H122" s="17" t="n">
        <f aca="false">F122*G122</f>
        <v>228</v>
      </c>
    </row>
    <row r="123" customFormat="false" ht="15" hidden="false" customHeight="false" outlineLevel="0" collapsed="false">
      <c r="A123" s="15" t="n">
        <v>45887</v>
      </c>
      <c r="B123" s="16" t="str">
        <f aca="false">TEXT(A123,"ddd")</f>
        <v>Mon</v>
      </c>
      <c r="C123" s="16" t="str">
        <f aca="false">TEXT(A123,"mmm")</f>
        <v>Aug</v>
      </c>
      <c r="D123" s="16" t="s">
        <v>31</v>
      </c>
      <c r="E123" s="16" t="str">
        <f aca="false">INDEX(Products!$B$2:$B$9,MATCH(D123,Products!$A$2:$A$9,0))</f>
        <v>Hot Espresso</v>
      </c>
      <c r="F123" s="17" t="n">
        <f aca="false">INDEX(Products!$C$2:$C$9,MATCH(D123,Products!$A$2:$A$9,0))</f>
        <v>5.45</v>
      </c>
      <c r="G123" s="18" t="n">
        <v>35</v>
      </c>
      <c r="H123" s="17" t="n">
        <f aca="false">F123*G123</f>
        <v>190.75</v>
      </c>
    </row>
    <row r="124" customFormat="false" ht="15" hidden="false" customHeight="false" outlineLevel="0" collapsed="false">
      <c r="A124" s="15" t="n">
        <v>45887</v>
      </c>
      <c r="B124" s="16" t="str">
        <f aca="false">TEXT(A124,"ddd")</f>
        <v>Mon</v>
      </c>
      <c r="C124" s="16" t="str">
        <f aca="false">TEXT(A124,"mmm")</f>
        <v>Aug</v>
      </c>
      <c r="D124" s="16" t="s">
        <v>32</v>
      </c>
      <c r="E124" s="16" t="str">
        <f aca="false">INDEX(Products!$B$2:$B$9,MATCH(D124,Products!$A$2:$A$9,0))</f>
        <v>Hot Espresso</v>
      </c>
      <c r="F124" s="17" t="n">
        <f aca="false">INDEX(Products!$C$2:$C$9,MATCH(D124,Products!$A$2:$A$9,0))</f>
        <v>3.75</v>
      </c>
      <c r="G124" s="18" t="n">
        <v>31</v>
      </c>
      <c r="H124" s="17" t="n">
        <f aca="false">F124*G124</f>
        <v>116.25</v>
      </c>
    </row>
    <row r="125" customFormat="false" ht="15" hidden="false" customHeight="false" outlineLevel="0" collapsed="false">
      <c r="A125" s="15" t="n">
        <v>45887</v>
      </c>
      <c r="B125" s="16" t="str">
        <f aca="false">TEXT(A125,"ddd")</f>
        <v>Mon</v>
      </c>
      <c r="C125" s="16" t="str">
        <f aca="false">TEXT(A125,"mmm")</f>
        <v>Aug</v>
      </c>
      <c r="D125" s="16" t="s">
        <v>33</v>
      </c>
      <c r="E125" s="16" t="str">
        <f aca="false">INDEX(Products!$B$2:$B$9,MATCH(D125,Products!$A$2:$A$9,0))</f>
        <v>Hot Espresso</v>
      </c>
      <c r="F125" s="17" t="n">
        <f aca="false">INDEX(Products!$C$2:$C$9,MATCH(D125,Products!$A$2:$A$9,0))</f>
        <v>5.25</v>
      </c>
      <c r="G125" s="18" t="n">
        <v>28</v>
      </c>
      <c r="H125" s="17" t="n">
        <f aca="false">F125*G125</f>
        <v>147</v>
      </c>
    </row>
    <row r="126" customFormat="false" ht="15" hidden="false" customHeight="false" outlineLevel="0" collapsed="false">
      <c r="A126" s="15" t="n">
        <v>45887</v>
      </c>
      <c r="B126" s="16" t="str">
        <f aca="false">TEXT(A126,"ddd")</f>
        <v>Mon</v>
      </c>
      <c r="C126" s="16" t="str">
        <f aca="false">TEXT(A126,"mmm")</f>
        <v>Aug</v>
      </c>
      <c r="D126" s="16" t="s">
        <v>36</v>
      </c>
      <c r="E126" s="16" t="str">
        <f aca="false">INDEX(Products!$B$2:$B$9,MATCH(D126,Products!$A$2:$A$9,0))</f>
        <v>Cold Drinks</v>
      </c>
      <c r="F126" s="17" t="n">
        <f aca="false">INDEX(Products!$C$2:$C$9,MATCH(D126,Products!$A$2:$A$9,0))</f>
        <v>3.95</v>
      </c>
      <c r="G126" s="18" t="n">
        <v>71</v>
      </c>
      <c r="H126" s="17" t="n">
        <f aca="false">F126*G126</f>
        <v>280.45</v>
      </c>
    </row>
    <row r="127" customFormat="false" ht="15" hidden="false" customHeight="false" outlineLevel="0" collapsed="false">
      <c r="A127" s="15" t="n">
        <v>45887</v>
      </c>
      <c r="B127" s="16" t="str">
        <f aca="false">TEXT(A127,"ddd")</f>
        <v>Mon</v>
      </c>
      <c r="C127" s="16" t="str">
        <f aca="false">TEXT(A127,"mmm")</f>
        <v>Aug</v>
      </c>
      <c r="D127" s="16" t="s">
        <v>38</v>
      </c>
      <c r="E127" s="16" t="str">
        <f aca="false">INDEX(Products!$B$2:$B$9,MATCH(D127,Products!$A$2:$A$9,0))</f>
        <v>Cold Drinks</v>
      </c>
      <c r="F127" s="17" t="n">
        <f aca="false">INDEX(Products!$C$2:$C$9,MATCH(D127,Products!$A$2:$A$9,0))</f>
        <v>4.45</v>
      </c>
      <c r="G127" s="18" t="n">
        <v>50</v>
      </c>
      <c r="H127" s="17" t="n">
        <f aca="false">F127*G127</f>
        <v>222.5</v>
      </c>
    </row>
    <row r="128" customFormat="false" ht="15" hidden="false" customHeight="false" outlineLevel="0" collapsed="false">
      <c r="A128" s="15" t="n">
        <v>45888</v>
      </c>
      <c r="B128" s="16" t="str">
        <f aca="false">TEXT(A128,"ddd")</f>
        <v>Tue</v>
      </c>
      <c r="C128" s="16" t="str">
        <f aca="false">TEXT(A128,"mmm")</f>
        <v>Aug</v>
      </c>
      <c r="D128" s="16" t="s">
        <v>28</v>
      </c>
      <c r="E128" s="16" t="str">
        <f aca="false">INDEX(Products!$B$2:$B$9,MATCH(D128,Products!$A$2:$A$9,0))</f>
        <v>Hot Espresso</v>
      </c>
      <c r="F128" s="17" t="n">
        <f aca="false">INDEX(Products!$C$2:$C$9,MATCH(D128,Products!$A$2:$A$9,0))</f>
        <v>4.95</v>
      </c>
      <c r="G128" s="18" t="n">
        <v>70</v>
      </c>
      <c r="H128" s="17" t="n">
        <f aca="false">F128*G128</f>
        <v>346.5</v>
      </c>
    </row>
    <row r="129" customFormat="false" ht="15" hidden="false" customHeight="false" outlineLevel="0" collapsed="false">
      <c r="A129" s="15" t="n">
        <v>45888</v>
      </c>
      <c r="B129" s="16" t="str">
        <f aca="false">TEXT(A129,"ddd")</f>
        <v>Tue</v>
      </c>
      <c r="C129" s="16" t="str">
        <f aca="false">TEXT(A129,"mmm")</f>
        <v>Aug</v>
      </c>
      <c r="D129" s="16" t="s">
        <v>30</v>
      </c>
      <c r="E129" s="16" t="str">
        <f aca="false">INDEX(Products!$B$2:$B$9,MATCH(D129,Products!$A$2:$A$9,0))</f>
        <v>Hot Espresso</v>
      </c>
      <c r="F129" s="17" t="n">
        <f aca="false">INDEX(Products!$C$2:$C$9,MATCH(D129,Products!$A$2:$A$9,0))</f>
        <v>4.75</v>
      </c>
      <c r="G129" s="18" t="n">
        <v>49</v>
      </c>
      <c r="H129" s="17" t="n">
        <f aca="false">F129*G129</f>
        <v>232.75</v>
      </c>
    </row>
    <row r="130" customFormat="false" ht="15" hidden="false" customHeight="false" outlineLevel="0" collapsed="false">
      <c r="A130" s="15" t="n">
        <v>45888</v>
      </c>
      <c r="B130" s="16" t="str">
        <f aca="false">TEXT(A130,"ddd")</f>
        <v>Tue</v>
      </c>
      <c r="C130" s="16" t="str">
        <f aca="false">TEXT(A130,"mmm")</f>
        <v>Aug</v>
      </c>
      <c r="D130" s="16" t="s">
        <v>31</v>
      </c>
      <c r="E130" s="16" t="str">
        <f aca="false">INDEX(Products!$B$2:$B$9,MATCH(D130,Products!$A$2:$A$9,0))</f>
        <v>Hot Espresso</v>
      </c>
      <c r="F130" s="17" t="n">
        <f aca="false">INDEX(Products!$C$2:$C$9,MATCH(D130,Products!$A$2:$A$9,0))</f>
        <v>5.45</v>
      </c>
      <c r="G130" s="18" t="n">
        <v>44</v>
      </c>
      <c r="H130" s="17" t="n">
        <f aca="false">F130*G130</f>
        <v>239.8</v>
      </c>
    </row>
    <row r="131" customFormat="false" ht="15" hidden="false" customHeight="false" outlineLevel="0" collapsed="false">
      <c r="A131" s="15" t="n">
        <v>45888</v>
      </c>
      <c r="B131" s="16" t="str">
        <f aca="false">TEXT(A131,"ddd")</f>
        <v>Tue</v>
      </c>
      <c r="C131" s="16" t="str">
        <f aca="false">TEXT(A131,"mmm")</f>
        <v>Aug</v>
      </c>
      <c r="D131" s="16" t="s">
        <v>32</v>
      </c>
      <c r="E131" s="16" t="str">
        <f aca="false">INDEX(Products!$B$2:$B$9,MATCH(D131,Products!$A$2:$A$9,0))</f>
        <v>Hot Espresso</v>
      </c>
      <c r="F131" s="17" t="n">
        <f aca="false">INDEX(Products!$C$2:$C$9,MATCH(D131,Products!$A$2:$A$9,0))</f>
        <v>3.75</v>
      </c>
      <c r="G131" s="18" t="n">
        <v>27</v>
      </c>
      <c r="H131" s="17" t="n">
        <f aca="false">F131*G131</f>
        <v>101.25</v>
      </c>
    </row>
    <row r="132" customFormat="false" ht="15" hidden="false" customHeight="false" outlineLevel="0" collapsed="false">
      <c r="A132" s="15" t="n">
        <v>45888</v>
      </c>
      <c r="B132" s="16" t="str">
        <f aca="false">TEXT(A132,"ddd")</f>
        <v>Tue</v>
      </c>
      <c r="C132" s="16" t="str">
        <f aca="false">TEXT(A132,"mmm")</f>
        <v>Aug</v>
      </c>
      <c r="D132" s="16" t="s">
        <v>33</v>
      </c>
      <c r="E132" s="16" t="str">
        <f aca="false">INDEX(Products!$B$2:$B$9,MATCH(D132,Products!$A$2:$A$9,0))</f>
        <v>Hot Espresso</v>
      </c>
      <c r="F132" s="17" t="n">
        <f aca="false">INDEX(Products!$C$2:$C$9,MATCH(D132,Products!$A$2:$A$9,0))</f>
        <v>5.25</v>
      </c>
      <c r="G132" s="18" t="n">
        <v>31</v>
      </c>
      <c r="H132" s="17" t="n">
        <f aca="false">F132*G132</f>
        <v>162.75</v>
      </c>
    </row>
    <row r="133" customFormat="false" ht="15" hidden="false" customHeight="false" outlineLevel="0" collapsed="false">
      <c r="A133" s="15" t="n">
        <v>45888</v>
      </c>
      <c r="B133" s="16" t="str">
        <f aca="false">TEXT(A133,"ddd")</f>
        <v>Tue</v>
      </c>
      <c r="C133" s="16" t="str">
        <f aca="false">TEXT(A133,"mmm")</f>
        <v>Aug</v>
      </c>
      <c r="D133" s="16" t="s">
        <v>36</v>
      </c>
      <c r="E133" s="16" t="str">
        <f aca="false">INDEX(Products!$B$2:$B$9,MATCH(D133,Products!$A$2:$A$9,0))</f>
        <v>Cold Drinks</v>
      </c>
      <c r="F133" s="17" t="n">
        <f aca="false">INDEX(Products!$C$2:$C$9,MATCH(D133,Products!$A$2:$A$9,0))</f>
        <v>3.95</v>
      </c>
      <c r="G133" s="18" t="n">
        <v>68</v>
      </c>
      <c r="H133" s="17" t="n">
        <f aca="false">F133*G133</f>
        <v>268.6</v>
      </c>
    </row>
    <row r="134" customFormat="false" ht="15" hidden="false" customHeight="false" outlineLevel="0" collapsed="false">
      <c r="A134" s="15" t="n">
        <v>45888</v>
      </c>
      <c r="B134" s="16" t="str">
        <f aca="false">TEXT(A134,"ddd")</f>
        <v>Tue</v>
      </c>
      <c r="C134" s="16" t="str">
        <f aca="false">TEXT(A134,"mmm")</f>
        <v>Aug</v>
      </c>
      <c r="D134" s="16" t="s">
        <v>38</v>
      </c>
      <c r="E134" s="16" t="str">
        <f aca="false">INDEX(Products!$B$2:$B$9,MATCH(D134,Products!$A$2:$A$9,0))</f>
        <v>Cold Drinks</v>
      </c>
      <c r="F134" s="17" t="n">
        <f aca="false">INDEX(Products!$C$2:$C$9,MATCH(D134,Products!$A$2:$A$9,0))</f>
        <v>4.45</v>
      </c>
      <c r="G134" s="18" t="n">
        <v>57</v>
      </c>
      <c r="H134" s="17" t="n">
        <f aca="false">F134*G134</f>
        <v>253.65</v>
      </c>
    </row>
    <row r="135" customFormat="false" ht="15" hidden="false" customHeight="false" outlineLevel="0" collapsed="false">
      <c r="A135" s="15" t="n">
        <v>45889</v>
      </c>
      <c r="B135" s="16" t="str">
        <f aca="false">TEXT(A135,"ddd")</f>
        <v>Wed</v>
      </c>
      <c r="C135" s="16" t="str">
        <f aca="false">TEXT(A135,"mmm")</f>
        <v>Aug</v>
      </c>
      <c r="D135" s="16" t="s">
        <v>28</v>
      </c>
      <c r="E135" s="16" t="str">
        <f aca="false">INDEX(Products!$B$2:$B$9,MATCH(D135,Products!$A$2:$A$9,0))</f>
        <v>Hot Espresso</v>
      </c>
      <c r="F135" s="17" t="n">
        <f aca="false">INDEX(Products!$C$2:$C$9,MATCH(D135,Products!$A$2:$A$9,0))</f>
        <v>4.95</v>
      </c>
      <c r="G135" s="18" t="n">
        <v>52</v>
      </c>
      <c r="H135" s="17" t="n">
        <f aca="false">F135*G135</f>
        <v>257.4</v>
      </c>
    </row>
    <row r="136" customFormat="false" ht="15" hidden="false" customHeight="false" outlineLevel="0" collapsed="false">
      <c r="A136" s="15" t="n">
        <v>45889</v>
      </c>
      <c r="B136" s="16" t="str">
        <f aca="false">TEXT(A136,"ddd")</f>
        <v>Wed</v>
      </c>
      <c r="C136" s="16" t="str">
        <f aca="false">TEXT(A136,"mmm")</f>
        <v>Aug</v>
      </c>
      <c r="D136" s="16" t="s">
        <v>30</v>
      </c>
      <c r="E136" s="16" t="str">
        <f aca="false">INDEX(Products!$B$2:$B$9,MATCH(D136,Products!$A$2:$A$9,0))</f>
        <v>Hot Espresso</v>
      </c>
      <c r="F136" s="17" t="n">
        <f aca="false">INDEX(Products!$C$2:$C$9,MATCH(D136,Products!$A$2:$A$9,0))</f>
        <v>4.75</v>
      </c>
      <c r="G136" s="18" t="n">
        <v>52</v>
      </c>
      <c r="H136" s="17" t="n">
        <f aca="false">F136*G136</f>
        <v>247</v>
      </c>
    </row>
    <row r="137" customFormat="false" ht="15" hidden="false" customHeight="false" outlineLevel="0" collapsed="false">
      <c r="A137" s="15" t="n">
        <v>45889</v>
      </c>
      <c r="B137" s="16" t="str">
        <f aca="false">TEXT(A137,"ddd")</f>
        <v>Wed</v>
      </c>
      <c r="C137" s="16" t="str">
        <f aca="false">TEXT(A137,"mmm")</f>
        <v>Aug</v>
      </c>
      <c r="D137" s="16" t="s">
        <v>31</v>
      </c>
      <c r="E137" s="16" t="str">
        <f aca="false">INDEX(Products!$B$2:$B$9,MATCH(D137,Products!$A$2:$A$9,0))</f>
        <v>Hot Espresso</v>
      </c>
      <c r="F137" s="17" t="n">
        <f aca="false">INDEX(Products!$C$2:$C$9,MATCH(D137,Products!$A$2:$A$9,0))</f>
        <v>5.45</v>
      </c>
      <c r="G137" s="18" t="n">
        <v>41</v>
      </c>
      <c r="H137" s="17" t="n">
        <f aca="false">F137*G137</f>
        <v>223.45</v>
      </c>
    </row>
    <row r="138" customFormat="false" ht="15" hidden="false" customHeight="false" outlineLevel="0" collapsed="false">
      <c r="A138" s="15" t="n">
        <v>45889</v>
      </c>
      <c r="B138" s="16" t="str">
        <f aca="false">TEXT(A138,"ddd")</f>
        <v>Wed</v>
      </c>
      <c r="C138" s="16" t="str">
        <f aca="false">TEXT(A138,"mmm")</f>
        <v>Aug</v>
      </c>
      <c r="D138" s="16" t="s">
        <v>32</v>
      </c>
      <c r="E138" s="16" t="str">
        <f aca="false">INDEX(Products!$B$2:$B$9,MATCH(D138,Products!$A$2:$A$9,0))</f>
        <v>Hot Espresso</v>
      </c>
      <c r="F138" s="17" t="n">
        <f aca="false">INDEX(Products!$C$2:$C$9,MATCH(D138,Products!$A$2:$A$9,0))</f>
        <v>3.75</v>
      </c>
      <c r="G138" s="18" t="n">
        <v>34</v>
      </c>
      <c r="H138" s="17" t="n">
        <f aca="false">F138*G138</f>
        <v>127.5</v>
      </c>
    </row>
    <row r="139" customFormat="false" ht="15" hidden="false" customHeight="false" outlineLevel="0" collapsed="false">
      <c r="A139" s="15" t="n">
        <v>45889</v>
      </c>
      <c r="B139" s="16" t="str">
        <f aca="false">TEXT(A139,"ddd")</f>
        <v>Wed</v>
      </c>
      <c r="C139" s="16" t="str">
        <f aca="false">TEXT(A139,"mmm")</f>
        <v>Aug</v>
      </c>
      <c r="D139" s="16" t="s">
        <v>33</v>
      </c>
      <c r="E139" s="16" t="str">
        <f aca="false">INDEX(Products!$B$2:$B$9,MATCH(D139,Products!$A$2:$A$9,0))</f>
        <v>Hot Espresso</v>
      </c>
      <c r="F139" s="17" t="n">
        <f aca="false">INDEX(Products!$C$2:$C$9,MATCH(D139,Products!$A$2:$A$9,0))</f>
        <v>5.25</v>
      </c>
      <c r="G139" s="18" t="n">
        <v>34</v>
      </c>
      <c r="H139" s="17" t="n">
        <f aca="false">F139*G139</f>
        <v>178.5</v>
      </c>
    </row>
    <row r="140" customFormat="false" ht="15" hidden="false" customHeight="false" outlineLevel="0" collapsed="false">
      <c r="A140" s="15" t="n">
        <v>45889</v>
      </c>
      <c r="B140" s="16" t="str">
        <f aca="false">TEXT(A140,"ddd")</f>
        <v>Wed</v>
      </c>
      <c r="C140" s="16" t="str">
        <f aca="false">TEXT(A140,"mmm")</f>
        <v>Aug</v>
      </c>
      <c r="D140" s="16" t="s">
        <v>36</v>
      </c>
      <c r="E140" s="16" t="str">
        <f aca="false">INDEX(Products!$B$2:$B$9,MATCH(D140,Products!$A$2:$A$9,0))</f>
        <v>Cold Drinks</v>
      </c>
      <c r="F140" s="17" t="n">
        <f aca="false">INDEX(Products!$C$2:$C$9,MATCH(D140,Products!$A$2:$A$9,0))</f>
        <v>3.95</v>
      </c>
      <c r="G140" s="18" t="n">
        <v>66</v>
      </c>
      <c r="H140" s="17" t="n">
        <f aca="false">F140*G140</f>
        <v>260.7</v>
      </c>
    </row>
    <row r="141" customFormat="false" ht="15" hidden="false" customHeight="false" outlineLevel="0" collapsed="false">
      <c r="A141" s="15" t="n">
        <v>45889</v>
      </c>
      <c r="B141" s="16" t="str">
        <f aca="false">TEXT(A141,"ddd")</f>
        <v>Wed</v>
      </c>
      <c r="C141" s="16" t="str">
        <f aca="false">TEXT(A141,"mmm")</f>
        <v>Aug</v>
      </c>
      <c r="D141" s="16" t="s">
        <v>38</v>
      </c>
      <c r="E141" s="16" t="str">
        <f aca="false">INDEX(Products!$B$2:$B$9,MATCH(D141,Products!$A$2:$A$9,0))</f>
        <v>Cold Drinks</v>
      </c>
      <c r="F141" s="17" t="n">
        <f aca="false">INDEX(Products!$C$2:$C$9,MATCH(D141,Products!$A$2:$A$9,0))</f>
        <v>4.45</v>
      </c>
      <c r="G141" s="18" t="n">
        <v>48</v>
      </c>
      <c r="H141" s="17" t="n">
        <f aca="false">F141*G141</f>
        <v>213.6</v>
      </c>
    </row>
    <row r="142" customFormat="false" ht="15" hidden="false" customHeight="false" outlineLevel="0" collapsed="false">
      <c r="A142" s="15" t="n">
        <v>45890</v>
      </c>
      <c r="B142" s="16" t="str">
        <f aca="false">TEXT(A142,"ddd")</f>
        <v>Thu</v>
      </c>
      <c r="C142" s="16" t="str">
        <f aca="false">TEXT(A142,"mmm")</f>
        <v>Aug</v>
      </c>
      <c r="D142" s="16" t="s">
        <v>28</v>
      </c>
      <c r="E142" s="16" t="str">
        <f aca="false">INDEX(Products!$B$2:$B$9,MATCH(D142,Products!$A$2:$A$9,0))</f>
        <v>Hot Espresso</v>
      </c>
      <c r="F142" s="17" t="n">
        <f aca="false">INDEX(Products!$C$2:$C$9,MATCH(D142,Products!$A$2:$A$9,0))</f>
        <v>4.95</v>
      </c>
      <c r="G142" s="18" t="n">
        <v>54</v>
      </c>
      <c r="H142" s="17" t="n">
        <f aca="false">F142*G142</f>
        <v>267.3</v>
      </c>
    </row>
    <row r="143" customFormat="false" ht="15" hidden="false" customHeight="false" outlineLevel="0" collapsed="false">
      <c r="A143" s="15" t="n">
        <v>45890</v>
      </c>
      <c r="B143" s="16" t="str">
        <f aca="false">TEXT(A143,"ddd")</f>
        <v>Thu</v>
      </c>
      <c r="C143" s="16" t="str">
        <f aca="false">TEXT(A143,"mmm")</f>
        <v>Aug</v>
      </c>
      <c r="D143" s="16" t="s">
        <v>30</v>
      </c>
      <c r="E143" s="16" t="str">
        <f aca="false">INDEX(Products!$B$2:$B$9,MATCH(D143,Products!$A$2:$A$9,0))</f>
        <v>Hot Espresso</v>
      </c>
      <c r="F143" s="17" t="n">
        <f aca="false">INDEX(Products!$C$2:$C$9,MATCH(D143,Products!$A$2:$A$9,0))</f>
        <v>4.75</v>
      </c>
      <c r="G143" s="18" t="n">
        <v>49</v>
      </c>
      <c r="H143" s="17" t="n">
        <f aca="false">F143*G143</f>
        <v>232.75</v>
      </c>
    </row>
    <row r="144" customFormat="false" ht="15" hidden="false" customHeight="false" outlineLevel="0" collapsed="false">
      <c r="A144" s="15" t="n">
        <v>45890</v>
      </c>
      <c r="B144" s="16" t="str">
        <f aca="false">TEXT(A144,"ddd")</f>
        <v>Thu</v>
      </c>
      <c r="C144" s="16" t="str">
        <f aca="false">TEXT(A144,"mmm")</f>
        <v>Aug</v>
      </c>
      <c r="D144" s="16" t="s">
        <v>31</v>
      </c>
      <c r="E144" s="16" t="str">
        <f aca="false">INDEX(Products!$B$2:$B$9,MATCH(D144,Products!$A$2:$A$9,0))</f>
        <v>Hot Espresso</v>
      </c>
      <c r="F144" s="17" t="n">
        <f aca="false">INDEX(Products!$C$2:$C$9,MATCH(D144,Products!$A$2:$A$9,0))</f>
        <v>5.45</v>
      </c>
      <c r="G144" s="18" t="n">
        <v>39</v>
      </c>
      <c r="H144" s="17" t="n">
        <f aca="false">F144*G144</f>
        <v>212.55</v>
      </c>
    </row>
    <row r="145" customFormat="false" ht="15" hidden="false" customHeight="false" outlineLevel="0" collapsed="false">
      <c r="A145" s="15" t="n">
        <v>45890</v>
      </c>
      <c r="B145" s="16" t="str">
        <f aca="false">TEXT(A145,"ddd")</f>
        <v>Thu</v>
      </c>
      <c r="C145" s="16" t="str">
        <f aca="false">TEXT(A145,"mmm")</f>
        <v>Aug</v>
      </c>
      <c r="D145" s="16" t="s">
        <v>32</v>
      </c>
      <c r="E145" s="16" t="str">
        <f aca="false">INDEX(Products!$B$2:$B$9,MATCH(D145,Products!$A$2:$A$9,0))</f>
        <v>Hot Espresso</v>
      </c>
      <c r="F145" s="17" t="n">
        <f aca="false">INDEX(Products!$C$2:$C$9,MATCH(D145,Products!$A$2:$A$9,0))</f>
        <v>3.75</v>
      </c>
      <c r="G145" s="18" t="n">
        <v>35</v>
      </c>
      <c r="H145" s="17" t="n">
        <f aca="false">F145*G145</f>
        <v>131.25</v>
      </c>
    </row>
    <row r="146" customFormat="false" ht="15" hidden="false" customHeight="false" outlineLevel="0" collapsed="false">
      <c r="A146" s="15" t="n">
        <v>45890</v>
      </c>
      <c r="B146" s="16" t="str">
        <f aca="false">TEXT(A146,"ddd")</f>
        <v>Thu</v>
      </c>
      <c r="C146" s="16" t="str">
        <f aca="false">TEXT(A146,"mmm")</f>
        <v>Aug</v>
      </c>
      <c r="D146" s="16" t="s">
        <v>33</v>
      </c>
      <c r="E146" s="16" t="str">
        <f aca="false">INDEX(Products!$B$2:$B$9,MATCH(D146,Products!$A$2:$A$9,0))</f>
        <v>Hot Espresso</v>
      </c>
      <c r="F146" s="17" t="n">
        <f aca="false">INDEX(Products!$C$2:$C$9,MATCH(D146,Products!$A$2:$A$9,0))</f>
        <v>5.25</v>
      </c>
      <c r="G146" s="18" t="n">
        <v>30</v>
      </c>
      <c r="H146" s="17" t="n">
        <f aca="false">F146*G146</f>
        <v>157.5</v>
      </c>
    </row>
    <row r="147" customFormat="false" ht="15" hidden="false" customHeight="false" outlineLevel="0" collapsed="false">
      <c r="A147" s="15" t="n">
        <v>45890</v>
      </c>
      <c r="B147" s="16" t="str">
        <f aca="false">TEXT(A147,"ddd")</f>
        <v>Thu</v>
      </c>
      <c r="C147" s="16" t="str">
        <f aca="false">TEXT(A147,"mmm")</f>
        <v>Aug</v>
      </c>
      <c r="D147" s="16" t="s">
        <v>36</v>
      </c>
      <c r="E147" s="16" t="str">
        <f aca="false">INDEX(Products!$B$2:$B$9,MATCH(D147,Products!$A$2:$A$9,0))</f>
        <v>Cold Drinks</v>
      </c>
      <c r="F147" s="17" t="n">
        <f aca="false">INDEX(Products!$C$2:$C$9,MATCH(D147,Products!$A$2:$A$9,0))</f>
        <v>3.95</v>
      </c>
      <c r="G147" s="18" t="n">
        <v>67</v>
      </c>
      <c r="H147" s="17" t="n">
        <f aca="false">F147*G147</f>
        <v>264.65</v>
      </c>
    </row>
    <row r="148" customFormat="false" ht="15" hidden="false" customHeight="false" outlineLevel="0" collapsed="false">
      <c r="A148" s="15" t="n">
        <v>45890</v>
      </c>
      <c r="B148" s="16" t="str">
        <f aca="false">TEXT(A148,"ddd")</f>
        <v>Thu</v>
      </c>
      <c r="C148" s="16" t="str">
        <f aca="false">TEXT(A148,"mmm")</f>
        <v>Aug</v>
      </c>
      <c r="D148" s="16" t="s">
        <v>38</v>
      </c>
      <c r="E148" s="16" t="str">
        <f aca="false">INDEX(Products!$B$2:$B$9,MATCH(D148,Products!$A$2:$A$9,0))</f>
        <v>Cold Drinks</v>
      </c>
      <c r="F148" s="17" t="n">
        <f aca="false">INDEX(Products!$C$2:$C$9,MATCH(D148,Products!$A$2:$A$9,0))</f>
        <v>4.45</v>
      </c>
      <c r="G148" s="18" t="n">
        <v>43</v>
      </c>
      <c r="H148" s="17" t="n">
        <f aca="false">F148*G148</f>
        <v>191.35</v>
      </c>
    </row>
    <row r="149" customFormat="false" ht="15" hidden="false" customHeight="false" outlineLevel="0" collapsed="false">
      <c r="A149" s="15" t="n">
        <v>45891</v>
      </c>
      <c r="B149" s="16" t="str">
        <f aca="false">TEXT(A149,"ddd")</f>
        <v>Fri</v>
      </c>
      <c r="C149" s="16" t="str">
        <f aca="false">TEXT(A149,"mmm")</f>
        <v>Aug</v>
      </c>
      <c r="D149" s="16" t="s">
        <v>28</v>
      </c>
      <c r="E149" s="16" t="str">
        <f aca="false">INDEX(Products!$B$2:$B$9,MATCH(D149,Products!$A$2:$A$9,0))</f>
        <v>Hot Espresso</v>
      </c>
      <c r="F149" s="17" t="n">
        <f aca="false">INDEX(Products!$C$2:$C$9,MATCH(D149,Products!$A$2:$A$9,0))</f>
        <v>4.95</v>
      </c>
      <c r="G149" s="18" t="n">
        <v>58</v>
      </c>
      <c r="H149" s="17" t="n">
        <f aca="false">F149*G149</f>
        <v>287.1</v>
      </c>
    </row>
    <row r="150" customFormat="false" ht="15" hidden="false" customHeight="false" outlineLevel="0" collapsed="false">
      <c r="A150" s="15" t="n">
        <v>45891</v>
      </c>
      <c r="B150" s="16" t="str">
        <f aca="false">TEXT(A150,"ddd")</f>
        <v>Fri</v>
      </c>
      <c r="C150" s="16" t="str">
        <f aca="false">TEXT(A150,"mmm")</f>
        <v>Aug</v>
      </c>
      <c r="D150" s="16" t="s">
        <v>30</v>
      </c>
      <c r="E150" s="16" t="str">
        <f aca="false">INDEX(Products!$B$2:$B$9,MATCH(D150,Products!$A$2:$A$9,0))</f>
        <v>Hot Espresso</v>
      </c>
      <c r="F150" s="17" t="n">
        <f aca="false">INDEX(Products!$C$2:$C$9,MATCH(D150,Products!$A$2:$A$9,0))</f>
        <v>4.75</v>
      </c>
      <c r="G150" s="18" t="n">
        <v>49</v>
      </c>
      <c r="H150" s="17" t="n">
        <f aca="false">F150*G150</f>
        <v>232.75</v>
      </c>
    </row>
    <row r="151" customFormat="false" ht="15" hidden="false" customHeight="false" outlineLevel="0" collapsed="false">
      <c r="A151" s="15" t="n">
        <v>45891</v>
      </c>
      <c r="B151" s="16" t="str">
        <f aca="false">TEXT(A151,"ddd")</f>
        <v>Fri</v>
      </c>
      <c r="C151" s="16" t="str">
        <f aca="false">TEXT(A151,"mmm")</f>
        <v>Aug</v>
      </c>
      <c r="D151" s="16" t="s">
        <v>31</v>
      </c>
      <c r="E151" s="16" t="str">
        <f aca="false">INDEX(Products!$B$2:$B$9,MATCH(D151,Products!$A$2:$A$9,0))</f>
        <v>Hot Espresso</v>
      </c>
      <c r="F151" s="17" t="n">
        <f aca="false">INDEX(Products!$C$2:$C$9,MATCH(D151,Products!$A$2:$A$9,0))</f>
        <v>5.45</v>
      </c>
      <c r="G151" s="18" t="n">
        <v>42</v>
      </c>
      <c r="H151" s="17" t="n">
        <f aca="false">F151*G151</f>
        <v>228.9</v>
      </c>
    </row>
    <row r="152" customFormat="false" ht="15" hidden="false" customHeight="false" outlineLevel="0" collapsed="false">
      <c r="A152" s="15" t="n">
        <v>45891</v>
      </c>
      <c r="B152" s="16" t="str">
        <f aca="false">TEXT(A152,"ddd")</f>
        <v>Fri</v>
      </c>
      <c r="C152" s="16" t="str">
        <f aca="false">TEXT(A152,"mmm")</f>
        <v>Aug</v>
      </c>
      <c r="D152" s="16" t="s">
        <v>32</v>
      </c>
      <c r="E152" s="16" t="str">
        <f aca="false">INDEX(Products!$B$2:$B$9,MATCH(D152,Products!$A$2:$A$9,0))</f>
        <v>Hot Espresso</v>
      </c>
      <c r="F152" s="17" t="n">
        <f aca="false">INDEX(Products!$C$2:$C$9,MATCH(D152,Products!$A$2:$A$9,0))</f>
        <v>3.75</v>
      </c>
      <c r="G152" s="18" t="n">
        <v>33</v>
      </c>
      <c r="H152" s="17" t="n">
        <f aca="false">F152*G152</f>
        <v>123.75</v>
      </c>
    </row>
    <row r="153" customFormat="false" ht="15" hidden="false" customHeight="false" outlineLevel="0" collapsed="false">
      <c r="A153" s="15" t="n">
        <v>45891</v>
      </c>
      <c r="B153" s="16" t="str">
        <f aca="false">TEXT(A153,"ddd")</f>
        <v>Fri</v>
      </c>
      <c r="C153" s="16" t="str">
        <f aca="false">TEXT(A153,"mmm")</f>
        <v>Aug</v>
      </c>
      <c r="D153" s="16" t="s">
        <v>33</v>
      </c>
      <c r="E153" s="16" t="str">
        <f aca="false">INDEX(Products!$B$2:$B$9,MATCH(D153,Products!$A$2:$A$9,0))</f>
        <v>Hot Espresso</v>
      </c>
      <c r="F153" s="17" t="n">
        <f aca="false">INDEX(Products!$C$2:$C$9,MATCH(D153,Products!$A$2:$A$9,0))</f>
        <v>5.25</v>
      </c>
      <c r="G153" s="18" t="n">
        <v>32</v>
      </c>
      <c r="H153" s="17" t="n">
        <f aca="false">F153*G153</f>
        <v>168</v>
      </c>
    </row>
    <row r="154" customFormat="false" ht="15" hidden="false" customHeight="false" outlineLevel="0" collapsed="false">
      <c r="A154" s="15" t="n">
        <v>45891</v>
      </c>
      <c r="B154" s="16" t="str">
        <f aca="false">TEXT(A154,"ddd")</f>
        <v>Fri</v>
      </c>
      <c r="C154" s="16" t="str">
        <f aca="false">TEXT(A154,"mmm")</f>
        <v>Aug</v>
      </c>
      <c r="D154" s="16" t="s">
        <v>36</v>
      </c>
      <c r="E154" s="16" t="str">
        <f aca="false">INDEX(Products!$B$2:$B$9,MATCH(D154,Products!$A$2:$A$9,0))</f>
        <v>Cold Drinks</v>
      </c>
      <c r="F154" s="17" t="n">
        <f aca="false">INDEX(Products!$C$2:$C$9,MATCH(D154,Products!$A$2:$A$9,0))</f>
        <v>3.95</v>
      </c>
      <c r="G154" s="18" t="n">
        <v>59</v>
      </c>
      <c r="H154" s="17" t="n">
        <f aca="false">F154*G154</f>
        <v>233.05</v>
      </c>
    </row>
    <row r="155" customFormat="false" ht="15" hidden="false" customHeight="false" outlineLevel="0" collapsed="false">
      <c r="A155" s="15" t="n">
        <v>45891</v>
      </c>
      <c r="B155" s="16" t="str">
        <f aca="false">TEXT(A155,"ddd")</f>
        <v>Fri</v>
      </c>
      <c r="C155" s="16" t="str">
        <f aca="false">TEXT(A155,"mmm")</f>
        <v>Aug</v>
      </c>
      <c r="D155" s="16" t="s">
        <v>38</v>
      </c>
      <c r="E155" s="16" t="str">
        <f aca="false">INDEX(Products!$B$2:$B$9,MATCH(D155,Products!$A$2:$A$9,0))</f>
        <v>Cold Drinks</v>
      </c>
      <c r="F155" s="17" t="n">
        <f aca="false">INDEX(Products!$C$2:$C$9,MATCH(D155,Products!$A$2:$A$9,0))</f>
        <v>4.45</v>
      </c>
      <c r="G155" s="18" t="n">
        <v>51</v>
      </c>
      <c r="H155" s="17" t="n">
        <f aca="false">F155*G155</f>
        <v>226.95</v>
      </c>
    </row>
    <row r="156" customFormat="false" ht="15" hidden="false" customHeight="false" outlineLevel="0" collapsed="false">
      <c r="A156" s="15" t="n">
        <v>45892</v>
      </c>
      <c r="B156" s="16" t="str">
        <f aca="false">TEXT(A156,"ddd")</f>
        <v>Sat</v>
      </c>
      <c r="C156" s="16" t="str">
        <f aca="false">TEXT(A156,"mmm")</f>
        <v>Aug</v>
      </c>
      <c r="D156" s="16" t="s">
        <v>28</v>
      </c>
      <c r="E156" s="16" t="str">
        <f aca="false">INDEX(Products!$B$2:$B$9,MATCH(D156,Products!$A$2:$A$9,0))</f>
        <v>Hot Espresso</v>
      </c>
      <c r="F156" s="17" t="n">
        <f aca="false">INDEX(Products!$C$2:$C$9,MATCH(D156,Products!$A$2:$A$9,0))</f>
        <v>4.95</v>
      </c>
      <c r="G156" s="18" t="n">
        <v>74</v>
      </c>
      <c r="H156" s="17" t="n">
        <f aca="false">F156*G156</f>
        <v>366.3</v>
      </c>
    </row>
    <row r="157" customFormat="false" ht="15" hidden="false" customHeight="false" outlineLevel="0" collapsed="false">
      <c r="A157" s="15" t="n">
        <v>45892</v>
      </c>
      <c r="B157" s="16" t="str">
        <f aca="false">TEXT(A157,"ddd")</f>
        <v>Sat</v>
      </c>
      <c r="C157" s="16" t="str">
        <f aca="false">TEXT(A157,"mmm")</f>
        <v>Aug</v>
      </c>
      <c r="D157" s="16" t="s">
        <v>30</v>
      </c>
      <c r="E157" s="16" t="str">
        <f aca="false">INDEX(Products!$B$2:$B$9,MATCH(D157,Products!$A$2:$A$9,0))</f>
        <v>Hot Espresso</v>
      </c>
      <c r="F157" s="17" t="n">
        <f aca="false">INDEX(Products!$C$2:$C$9,MATCH(D157,Products!$A$2:$A$9,0))</f>
        <v>4.75</v>
      </c>
      <c r="G157" s="18" t="n">
        <v>59</v>
      </c>
      <c r="H157" s="17" t="n">
        <f aca="false">F157*G157</f>
        <v>280.25</v>
      </c>
    </row>
    <row r="158" customFormat="false" ht="15" hidden="false" customHeight="false" outlineLevel="0" collapsed="false">
      <c r="A158" s="15" t="n">
        <v>45892</v>
      </c>
      <c r="B158" s="16" t="str">
        <f aca="false">TEXT(A158,"ddd")</f>
        <v>Sat</v>
      </c>
      <c r="C158" s="16" t="str">
        <f aca="false">TEXT(A158,"mmm")</f>
        <v>Aug</v>
      </c>
      <c r="D158" s="16" t="s">
        <v>31</v>
      </c>
      <c r="E158" s="16" t="str">
        <f aca="false">INDEX(Products!$B$2:$B$9,MATCH(D158,Products!$A$2:$A$9,0))</f>
        <v>Hot Espresso</v>
      </c>
      <c r="F158" s="17" t="n">
        <f aca="false">INDEX(Products!$C$2:$C$9,MATCH(D158,Products!$A$2:$A$9,0))</f>
        <v>5.45</v>
      </c>
      <c r="G158" s="18" t="n">
        <v>44</v>
      </c>
      <c r="H158" s="17" t="n">
        <f aca="false">F158*G158</f>
        <v>239.8</v>
      </c>
    </row>
    <row r="159" customFormat="false" ht="15" hidden="false" customHeight="false" outlineLevel="0" collapsed="false">
      <c r="A159" s="15" t="n">
        <v>45892</v>
      </c>
      <c r="B159" s="16" t="str">
        <f aca="false">TEXT(A159,"ddd")</f>
        <v>Sat</v>
      </c>
      <c r="C159" s="16" t="str">
        <f aca="false">TEXT(A159,"mmm")</f>
        <v>Aug</v>
      </c>
      <c r="D159" s="16" t="s">
        <v>32</v>
      </c>
      <c r="E159" s="16" t="str">
        <f aca="false">INDEX(Products!$B$2:$B$9,MATCH(D159,Products!$A$2:$A$9,0))</f>
        <v>Hot Espresso</v>
      </c>
      <c r="F159" s="17" t="n">
        <f aca="false">INDEX(Products!$C$2:$C$9,MATCH(D159,Products!$A$2:$A$9,0))</f>
        <v>3.75</v>
      </c>
      <c r="G159" s="18" t="n">
        <v>39</v>
      </c>
      <c r="H159" s="17" t="n">
        <f aca="false">F159*G159</f>
        <v>146.25</v>
      </c>
    </row>
    <row r="160" customFormat="false" ht="15" hidden="false" customHeight="false" outlineLevel="0" collapsed="false">
      <c r="A160" s="15" t="n">
        <v>45892</v>
      </c>
      <c r="B160" s="16" t="str">
        <f aca="false">TEXT(A160,"ddd")</f>
        <v>Sat</v>
      </c>
      <c r="C160" s="16" t="str">
        <f aca="false">TEXT(A160,"mmm")</f>
        <v>Aug</v>
      </c>
      <c r="D160" s="16" t="s">
        <v>33</v>
      </c>
      <c r="E160" s="16" t="str">
        <f aca="false">INDEX(Products!$B$2:$B$9,MATCH(D160,Products!$A$2:$A$9,0))</f>
        <v>Hot Espresso</v>
      </c>
      <c r="F160" s="17" t="n">
        <f aca="false">INDEX(Products!$C$2:$C$9,MATCH(D160,Products!$A$2:$A$9,0))</f>
        <v>5.25</v>
      </c>
      <c r="G160" s="18" t="n">
        <v>38</v>
      </c>
      <c r="H160" s="17" t="n">
        <f aca="false">F160*G160</f>
        <v>199.5</v>
      </c>
    </row>
    <row r="161" customFormat="false" ht="15" hidden="false" customHeight="false" outlineLevel="0" collapsed="false">
      <c r="A161" s="15" t="n">
        <v>45892</v>
      </c>
      <c r="B161" s="16" t="str">
        <f aca="false">TEXT(A161,"ddd")</f>
        <v>Sat</v>
      </c>
      <c r="C161" s="16" t="str">
        <f aca="false">TEXT(A161,"mmm")</f>
        <v>Aug</v>
      </c>
      <c r="D161" s="16" t="s">
        <v>36</v>
      </c>
      <c r="E161" s="16" t="str">
        <f aca="false">INDEX(Products!$B$2:$B$9,MATCH(D161,Products!$A$2:$A$9,0))</f>
        <v>Cold Drinks</v>
      </c>
      <c r="F161" s="17" t="n">
        <f aca="false">INDEX(Products!$C$2:$C$9,MATCH(D161,Products!$A$2:$A$9,0))</f>
        <v>3.95</v>
      </c>
      <c r="G161" s="18" t="n">
        <v>81</v>
      </c>
      <c r="H161" s="17" t="n">
        <f aca="false">F161*G161</f>
        <v>319.95</v>
      </c>
    </row>
    <row r="162" customFormat="false" ht="15" hidden="false" customHeight="false" outlineLevel="0" collapsed="false">
      <c r="A162" s="15" t="n">
        <v>45892</v>
      </c>
      <c r="B162" s="16" t="str">
        <f aca="false">TEXT(A162,"ddd")</f>
        <v>Sat</v>
      </c>
      <c r="C162" s="16" t="str">
        <f aca="false">TEXT(A162,"mmm")</f>
        <v>Aug</v>
      </c>
      <c r="D162" s="16" t="s">
        <v>38</v>
      </c>
      <c r="E162" s="16" t="str">
        <f aca="false">INDEX(Products!$B$2:$B$9,MATCH(D162,Products!$A$2:$A$9,0))</f>
        <v>Cold Drinks</v>
      </c>
      <c r="F162" s="17" t="n">
        <f aca="false">INDEX(Products!$C$2:$C$9,MATCH(D162,Products!$A$2:$A$9,0))</f>
        <v>4.45</v>
      </c>
      <c r="G162" s="18" t="n">
        <v>64</v>
      </c>
      <c r="H162" s="17" t="n">
        <f aca="false">F162*G162</f>
        <v>284.8</v>
      </c>
    </row>
    <row r="163" customFormat="false" ht="15" hidden="false" customHeight="false" outlineLevel="0" collapsed="false">
      <c r="A163" s="15" t="n">
        <v>45893</v>
      </c>
      <c r="B163" s="16" t="str">
        <f aca="false">TEXT(A163,"ddd")</f>
        <v>Sun</v>
      </c>
      <c r="C163" s="16" t="str">
        <f aca="false">TEXT(A163,"mmm")</f>
        <v>Aug</v>
      </c>
      <c r="D163" s="16" t="s">
        <v>28</v>
      </c>
      <c r="E163" s="16" t="str">
        <f aca="false">INDEX(Products!$B$2:$B$9,MATCH(D163,Products!$A$2:$A$9,0))</f>
        <v>Hot Espresso</v>
      </c>
      <c r="F163" s="17" t="n">
        <f aca="false">INDEX(Products!$C$2:$C$9,MATCH(D163,Products!$A$2:$A$9,0))</f>
        <v>4.95</v>
      </c>
      <c r="G163" s="18" t="n">
        <v>70</v>
      </c>
      <c r="H163" s="17" t="n">
        <f aca="false">F163*G163</f>
        <v>346.5</v>
      </c>
    </row>
    <row r="164" customFormat="false" ht="15" hidden="false" customHeight="false" outlineLevel="0" collapsed="false">
      <c r="A164" s="15" t="n">
        <v>45893</v>
      </c>
      <c r="B164" s="16" t="str">
        <f aca="false">TEXT(A164,"ddd")</f>
        <v>Sun</v>
      </c>
      <c r="C164" s="16" t="str">
        <f aca="false">TEXT(A164,"mmm")</f>
        <v>Aug</v>
      </c>
      <c r="D164" s="16" t="s">
        <v>30</v>
      </c>
      <c r="E164" s="16" t="str">
        <f aca="false">INDEX(Products!$B$2:$B$9,MATCH(D164,Products!$A$2:$A$9,0))</f>
        <v>Hot Espresso</v>
      </c>
      <c r="F164" s="17" t="n">
        <f aca="false">INDEX(Products!$C$2:$C$9,MATCH(D164,Products!$A$2:$A$9,0))</f>
        <v>4.75</v>
      </c>
      <c r="G164" s="18" t="n">
        <v>54</v>
      </c>
      <c r="H164" s="17" t="n">
        <f aca="false">F164*G164</f>
        <v>256.5</v>
      </c>
    </row>
    <row r="165" customFormat="false" ht="15" hidden="false" customHeight="false" outlineLevel="0" collapsed="false">
      <c r="A165" s="15" t="n">
        <v>45893</v>
      </c>
      <c r="B165" s="16" t="str">
        <f aca="false">TEXT(A165,"ddd")</f>
        <v>Sun</v>
      </c>
      <c r="C165" s="16" t="str">
        <f aca="false">TEXT(A165,"mmm")</f>
        <v>Aug</v>
      </c>
      <c r="D165" s="16" t="s">
        <v>31</v>
      </c>
      <c r="E165" s="16" t="str">
        <f aca="false">INDEX(Products!$B$2:$B$9,MATCH(D165,Products!$A$2:$A$9,0))</f>
        <v>Hot Espresso</v>
      </c>
      <c r="F165" s="17" t="n">
        <f aca="false">INDEX(Products!$C$2:$C$9,MATCH(D165,Products!$A$2:$A$9,0))</f>
        <v>5.45</v>
      </c>
      <c r="G165" s="18" t="n">
        <v>52</v>
      </c>
      <c r="H165" s="17" t="n">
        <f aca="false">F165*G165</f>
        <v>283.4</v>
      </c>
    </row>
    <row r="166" customFormat="false" ht="15" hidden="false" customHeight="false" outlineLevel="0" collapsed="false">
      <c r="A166" s="15" t="n">
        <v>45893</v>
      </c>
      <c r="B166" s="16" t="str">
        <f aca="false">TEXT(A166,"ddd")</f>
        <v>Sun</v>
      </c>
      <c r="C166" s="16" t="str">
        <f aca="false">TEXT(A166,"mmm")</f>
        <v>Aug</v>
      </c>
      <c r="D166" s="16" t="s">
        <v>32</v>
      </c>
      <c r="E166" s="16" t="str">
        <f aca="false">INDEX(Products!$B$2:$B$9,MATCH(D166,Products!$A$2:$A$9,0))</f>
        <v>Hot Espresso</v>
      </c>
      <c r="F166" s="17" t="n">
        <f aca="false">INDEX(Products!$C$2:$C$9,MATCH(D166,Products!$A$2:$A$9,0))</f>
        <v>3.75</v>
      </c>
      <c r="G166" s="18" t="n">
        <v>34</v>
      </c>
      <c r="H166" s="17" t="n">
        <f aca="false">F166*G166</f>
        <v>127.5</v>
      </c>
    </row>
    <row r="167" customFormat="false" ht="15" hidden="false" customHeight="false" outlineLevel="0" collapsed="false">
      <c r="A167" s="15" t="n">
        <v>45893</v>
      </c>
      <c r="B167" s="16" t="str">
        <f aca="false">TEXT(A167,"ddd")</f>
        <v>Sun</v>
      </c>
      <c r="C167" s="16" t="str">
        <f aca="false">TEXT(A167,"mmm")</f>
        <v>Aug</v>
      </c>
      <c r="D167" s="16" t="s">
        <v>33</v>
      </c>
      <c r="E167" s="16" t="str">
        <f aca="false">INDEX(Products!$B$2:$B$9,MATCH(D167,Products!$A$2:$A$9,0))</f>
        <v>Hot Espresso</v>
      </c>
      <c r="F167" s="17" t="n">
        <f aca="false">INDEX(Products!$C$2:$C$9,MATCH(D167,Products!$A$2:$A$9,0))</f>
        <v>5.25</v>
      </c>
      <c r="G167" s="18" t="n">
        <v>35</v>
      </c>
      <c r="H167" s="17" t="n">
        <f aca="false">F167*G167</f>
        <v>183.75</v>
      </c>
    </row>
    <row r="168" customFormat="false" ht="15" hidden="false" customHeight="false" outlineLevel="0" collapsed="false">
      <c r="A168" s="15" t="n">
        <v>45893</v>
      </c>
      <c r="B168" s="16" t="str">
        <f aca="false">TEXT(A168,"ddd")</f>
        <v>Sun</v>
      </c>
      <c r="C168" s="16" t="str">
        <f aca="false">TEXT(A168,"mmm")</f>
        <v>Aug</v>
      </c>
      <c r="D168" s="16" t="s">
        <v>36</v>
      </c>
      <c r="E168" s="16" t="str">
        <f aca="false">INDEX(Products!$B$2:$B$9,MATCH(D168,Products!$A$2:$A$9,0))</f>
        <v>Cold Drinks</v>
      </c>
      <c r="F168" s="17" t="n">
        <f aca="false">INDEX(Products!$C$2:$C$9,MATCH(D168,Products!$A$2:$A$9,0))</f>
        <v>3.95</v>
      </c>
      <c r="G168" s="18" t="n">
        <v>72</v>
      </c>
      <c r="H168" s="17" t="n">
        <f aca="false">F168*G168</f>
        <v>284.4</v>
      </c>
    </row>
    <row r="169" customFormat="false" ht="15" hidden="false" customHeight="false" outlineLevel="0" collapsed="false">
      <c r="A169" s="15" t="n">
        <v>45893</v>
      </c>
      <c r="B169" s="16" t="str">
        <f aca="false">TEXT(A169,"ddd")</f>
        <v>Sun</v>
      </c>
      <c r="C169" s="16" t="str">
        <f aca="false">TEXT(A169,"mmm")</f>
        <v>Aug</v>
      </c>
      <c r="D169" s="16" t="s">
        <v>38</v>
      </c>
      <c r="E169" s="16" t="str">
        <f aca="false">INDEX(Products!$B$2:$B$9,MATCH(D169,Products!$A$2:$A$9,0))</f>
        <v>Cold Drinks</v>
      </c>
      <c r="F169" s="17" t="n">
        <f aca="false">INDEX(Products!$C$2:$C$9,MATCH(D169,Products!$A$2:$A$9,0))</f>
        <v>4.45</v>
      </c>
      <c r="G169" s="18" t="n">
        <v>60</v>
      </c>
      <c r="H169" s="17" t="n">
        <f aca="false">F169*G169</f>
        <v>267</v>
      </c>
    </row>
    <row r="170" customFormat="false" ht="15" hidden="false" customHeight="false" outlineLevel="0" collapsed="false">
      <c r="A170" s="15" t="n">
        <v>45894</v>
      </c>
      <c r="B170" s="16" t="str">
        <f aca="false">TEXT(A170,"ddd")</f>
        <v>Mon</v>
      </c>
      <c r="C170" s="16" t="str">
        <f aca="false">TEXT(A170,"mmm")</f>
        <v>Aug</v>
      </c>
      <c r="D170" s="16" t="s">
        <v>28</v>
      </c>
      <c r="E170" s="16" t="str">
        <f aca="false">INDEX(Products!$B$2:$B$9,MATCH(D170,Products!$A$2:$A$9,0))</f>
        <v>Hot Espresso</v>
      </c>
      <c r="F170" s="17" t="n">
        <f aca="false">INDEX(Products!$C$2:$C$9,MATCH(D170,Products!$A$2:$A$9,0))</f>
        <v>4.95</v>
      </c>
      <c r="G170" s="18" t="n">
        <v>61</v>
      </c>
      <c r="H170" s="17" t="n">
        <f aca="false">F170*G170</f>
        <v>301.95</v>
      </c>
    </row>
    <row r="171" customFormat="false" ht="15" hidden="false" customHeight="false" outlineLevel="0" collapsed="false">
      <c r="A171" s="15" t="n">
        <v>45894</v>
      </c>
      <c r="B171" s="16" t="str">
        <f aca="false">TEXT(A171,"ddd")</f>
        <v>Mon</v>
      </c>
      <c r="C171" s="16" t="str">
        <f aca="false">TEXT(A171,"mmm")</f>
        <v>Aug</v>
      </c>
      <c r="D171" s="16" t="s">
        <v>30</v>
      </c>
      <c r="E171" s="16" t="str">
        <f aca="false">INDEX(Products!$B$2:$B$9,MATCH(D171,Products!$A$2:$A$9,0))</f>
        <v>Hot Espresso</v>
      </c>
      <c r="F171" s="17" t="n">
        <f aca="false">INDEX(Products!$C$2:$C$9,MATCH(D171,Products!$A$2:$A$9,0))</f>
        <v>4.75</v>
      </c>
      <c r="G171" s="18" t="n">
        <v>50</v>
      </c>
      <c r="H171" s="17" t="n">
        <f aca="false">F171*G171</f>
        <v>237.5</v>
      </c>
    </row>
    <row r="172" customFormat="false" ht="15" hidden="false" customHeight="false" outlineLevel="0" collapsed="false">
      <c r="A172" s="15" t="n">
        <v>45894</v>
      </c>
      <c r="B172" s="16" t="str">
        <f aca="false">TEXT(A172,"ddd")</f>
        <v>Mon</v>
      </c>
      <c r="C172" s="16" t="str">
        <f aca="false">TEXT(A172,"mmm")</f>
        <v>Aug</v>
      </c>
      <c r="D172" s="16" t="s">
        <v>31</v>
      </c>
      <c r="E172" s="16" t="str">
        <f aca="false">INDEX(Products!$B$2:$B$9,MATCH(D172,Products!$A$2:$A$9,0))</f>
        <v>Hot Espresso</v>
      </c>
      <c r="F172" s="17" t="n">
        <f aca="false">INDEX(Products!$C$2:$C$9,MATCH(D172,Products!$A$2:$A$9,0))</f>
        <v>5.45</v>
      </c>
      <c r="G172" s="18" t="n">
        <v>44</v>
      </c>
      <c r="H172" s="17" t="n">
        <f aca="false">F172*G172</f>
        <v>239.8</v>
      </c>
    </row>
    <row r="173" customFormat="false" ht="15" hidden="false" customHeight="false" outlineLevel="0" collapsed="false">
      <c r="A173" s="15" t="n">
        <v>45894</v>
      </c>
      <c r="B173" s="16" t="str">
        <f aca="false">TEXT(A173,"ddd")</f>
        <v>Mon</v>
      </c>
      <c r="C173" s="16" t="str">
        <f aca="false">TEXT(A173,"mmm")</f>
        <v>Aug</v>
      </c>
      <c r="D173" s="16" t="s">
        <v>32</v>
      </c>
      <c r="E173" s="16" t="str">
        <f aca="false">INDEX(Products!$B$2:$B$9,MATCH(D173,Products!$A$2:$A$9,0))</f>
        <v>Hot Espresso</v>
      </c>
      <c r="F173" s="17" t="n">
        <f aca="false">INDEX(Products!$C$2:$C$9,MATCH(D173,Products!$A$2:$A$9,0))</f>
        <v>3.75</v>
      </c>
      <c r="G173" s="18" t="n">
        <v>29</v>
      </c>
      <c r="H173" s="17" t="n">
        <f aca="false">F173*G173</f>
        <v>108.75</v>
      </c>
    </row>
    <row r="174" customFormat="false" ht="15" hidden="false" customHeight="false" outlineLevel="0" collapsed="false">
      <c r="A174" s="15" t="n">
        <v>45894</v>
      </c>
      <c r="B174" s="16" t="str">
        <f aca="false">TEXT(A174,"ddd")</f>
        <v>Mon</v>
      </c>
      <c r="C174" s="16" t="str">
        <f aca="false">TEXT(A174,"mmm")</f>
        <v>Aug</v>
      </c>
      <c r="D174" s="16" t="s">
        <v>33</v>
      </c>
      <c r="E174" s="16" t="str">
        <f aca="false">INDEX(Products!$B$2:$B$9,MATCH(D174,Products!$A$2:$A$9,0))</f>
        <v>Hot Espresso</v>
      </c>
      <c r="F174" s="17" t="n">
        <f aca="false">INDEX(Products!$C$2:$C$9,MATCH(D174,Products!$A$2:$A$9,0))</f>
        <v>5.25</v>
      </c>
      <c r="G174" s="18" t="n">
        <v>28</v>
      </c>
      <c r="H174" s="17" t="n">
        <f aca="false">F174*G174</f>
        <v>147</v>
      </c>
    </row>
    <row r="175" customFormat="false" ht="15" hidden="false" customHeight="false" outlineLevel="0" collapsed="false">
      <c r="A175" s="15" t="n">
        <v>45894</v>
      </c>
      <c r="B175" s="16" t="str">
        <f aca="false">TEXT(A175,"ddd")</f>
        <v>Mon</v>
      </c>
      <c r="C175" s="16" t="str">
        <f aca="false">TEXT(A175,"mmm")</f>
        <v>Aug</v>
      </c>
      <c r="D175" s="16" t="s">
        <v>36</v>
      </c>
      <c r="E175" s="16" t="str">
        <f aca="false">INDEX(Products!$B$2:$B$9,MATCH(D175,Products!$A$2:$A$9,0))</f>
        <v>Cold Drinks</v>
      </c>
      <c r="F175" s="17" t="n">
        <f aca="false">INDEX(Products!$C$2:$C$9,MATCH(D175,Products!$A$2:$A$9,0))</f>
        <v>3.95</v>
      </c>
      <c r="G175" s="18" t="n">
        <v>66</v>
      </c>
      <c r="H175" s="17" t="n">
        <f aca="false">F175*G175</f>
        <v>260.7</v>
      </c>
    </row>
    <row r="176" customFormat="false" ht="15" hidden="false" customHeight="false" outlineLevel="0" collapsed="false">
      <c r="A176" s="15" t="n">
        <v>45894</v>
      </c>
      <c r="B176" s="16" t="str">
        <f aca="false">TEXT(A176,"ddd")</f>
        <v>Mon</v>
      </c>
      <c r="C176" s="16" t="str">
        <f aca="false">TEXT(A176,"mmm")</f>
        <v>Aug</v>
      </c>
      <c r="D176" s="16" t="s">
        <v>38</v>
      </c>
      <c r="E176" s="16" t="str">
        <f aca="false">INDEX(Products!$B$2:$B$9,MATCH(D176,Products!$A$2:$A$9,0))</f>
        <v>Cold Drinks</v>
      </c>
      <c r="F176" s="17" t="n">
        <f aca="false">INDEX(Products!$C$2:$C$9,MATCH(D176,Products!$A$2:$A$9,0))</f>
        <v>4.45</v>
      </c>
      <c r="G176" s="18" t="n">
        <v>50</v>
      </c>
      <c r="H176" s="17" t="n">
        <f aca="false">F176*G176</f>
        <v>222.5</v>
      </c>
    </row>
    <row r="177" customFormat="false" ht="15" hidden="false" customHeight="false" outlineLevel="0" collapsed="false">
      <c r="A177" s="15" t="n">
        <v>45895</v>
      </c>
      <c r="B177" s="16" t="str">
        <f aca="false">TEXT(A177,"ddd")</f>
        <v>Tue</v>
      </c>
      <c r="C177" s="16" t="str">
        <f aca="false">TEXT(A177,"mmm")</f>
        <v>Aug</v>
      </c>
      <c r="D177" s="16" t="s">
        <v>28</v>
      </c>
      <c r="E177" s="16" t="str">
        <f aca="false">INDEX(Products!$B$2:$B$9,MATCH(D177,Products!$A$2:$A$9,0))</f>
        <v>Hot Espresso</v>
      </c>
      <c r="F177" s="17" t="n">
        <f aca="false">INDEX(Products!$C$2:$C$9,MATCH(D177,Products!$A$2:$A$9,0))</f>
        <v>4.95</v>
      </c>
      <c r="G177" s="18" t="n">
        <v>58</v>
      </c>
      <c r="H177" s="17" t="n">
        <f aca="false">F177*G177</f>
        <v>287.1</v>
      </c>
    </row>
    <row r="178" customFormat="false" ht="15" hidden="false" customHeight="false" outlineLevel="0" collapsed="false">
      <c r="A178" s="15" t="n">
        <v>45895</v>
      </c>
      <c r="B178" s="16" t="str">
        <f aca="false">TEXT(A178,"ddd")</f>
        <v>Tue</v>
      </c>
      <c r="C178" s="16" t="str">
        <f aca="false">TEXT(A178,"mmm")</f>
        <v>Aug</v>
      </c>
      <c r="D178" s="16" t="s">
        <v>30</v>
      </c>
      <c r="E178" s="16" t="str">
        <f aca="false">INDEX(Products!$B$2:$B$9,MATCH(D178,Products!$A$2:$A$9,0))</f>
        <v>Hot Espresso</v>
      </c>
      <c r="F178" s="17" t="n">
        <f aca="false">INDEX(Products!$C$2:$C$9,MATCH(D178,Products!$A$2:$A$9,0))</f>
        <v>4.75</v>
      </c>
      <c r="G178" s="18" t="n">
        <v>51</v>
      </c>
      <c r="H178" s="17" t="n">
        <f aca="false">F178*G178</f>
        <v>242.25</v>
      </c>
    </row>
    <row r="179" customFormat="false" ht="15" hidden="false" customHeight="false" outlineLevel="0" collapsed="false">
      <c r="A179" s="15" t="n">
        <v>45895</v>
      </c>
      <c r="B179" s="16" t="str">
        <f aca="false">TEXT(A179,"ddd")</f>
        <v>Tue</v>
      </c>
      <c r="C179" s="16" t="str">
        <f aca="false">TEXT(A179,"mmm")</f>
        <v>Aug</v>
      </c>
      <c r="D179" s="16" t="s">
        <v>31</v>
      </c>
      <c r="E179" s="16" t="str">
        <f aca="false">INDEX(Products!$B$2:$B$9,MATCH(D179,Products!$A$2:$A$9,0))</f>
        <v>Hot Espresso</v>
      </c>
      <c r="F179" s="17" t="n">
        <f aca="false">INDEX(Products!$C$2:$C$9,MATCH(D179,Products!$A$2:$A$9,0))</f>
        <v>5.45</v>
      </c>
      <c r="G179" s="18" t="n">
        <v>42</v>
      </c>
      <c r="H179" s="17" t="n">
        <f aca="false">F179*G179</f>
        <v>228.9</v>
      </c>
    </row>
    <row r="180" customFormat="false" ht="15" hidden="false" customHeight="false" outlineLevel="0" collapsed="false">
      <c r="A180" s="15" t="n">
        <v>45895</v>
      </c>
      <c r="B180" s="16" t="str">
        <f aca="false">TEXT(A180,"ddd")</f>
        <v>Tue</v>
      </c>
      <c r="C180" s="16" t="str">
        <f aca="false">TEXT(A180,"mmm")</f>
        <v>Aug</v>
      </c>
      <c r="D180" s="16" t="s">
        <v>32</v>
      </c>
      <c r="E180" s="16" t="str">
        <f aca="false">INDEX(Products!$B$2:$B$9,MATCH(D180,Products!$A$2:$A$9,0))</f>
        <v>Hot Espresso</v>
      </c>
      <c r="F180" s="17" t="n">
        <f aca="false">INDEX(Products!$C$2:$C$9,MATCH(D180,Products!$A$2:$A$9,0))</f>
        <v>3.75</v>
      </c>
      <c r="G180" s="18" t="n">
        <v>28</v>
      </c>
      <c r="H180" s="17" t="n">
        <f aca="false">F180*G180</f>
        <v>105</v>
      </c>
    </row>
    <row r="181" customFormat="false" ht="15" hidden="false" customHeight="false" outlineLevel="0" collapsed="false">
      <c r="A181" s="15" t="n">
        <v>45895</v>
      </c>
      <c r="B181" s="16" t="str">
        <f aca="false">TEXT(A181,"ddd")</f>
        <v>Tue</v>
      </c>
      <c r="C181" s="16" t="str">
        <f aca="false">TEXT(A181,"mmm")</f>
        <v>Aug</v>
      </c>
      <c r="D181" s="16" t="s">
        <v>33</v>
      </c>
      <c r="E181" s="16" t="str">
        <f aca="false">INDEX(Products!$B$2:$B$9,MATCH(D181,Products!$A$2:$A$9,0))</f>
        <v>Hot Espresso</v>
      </c>
      <c r="F181" s="17" t="n">
        <f aca="false">INDEX(Products!$C$2:$C$9,MATCH(D181,Products!$A$2:$A$9,0))</f>
        <v>5.25</v>
      </c>
      <c r="G181" s="18" t="n">
        <v>34</v>
      </c>
      <c r="H181" s="17" t="n">
        <f aca="false">F181*G181</f>
        <v>178.5</v>
      </c>
    </row>
    <row r="182" customFormat="false" ht="15" hidden="false" customHeight="false" outlineLevel="0" collapsed="false">
      <c r="A182" s="15" t="n">
        <v>45895</v>
      </c>
      <c r="B182" s="16" t="str">
        <f aca="false">TEXT(A182,"ddd")</f>
        <v>Tue</v>
      </c>
      <c r="C182" s="16" t="str">
        <f aca="false">TEXT(A182,"mmm")</f>
        <v>Aug</v>
      </c>
      <c r="D182" s="16" t="s">
        <v>34</v>
      </c>
      <c r="E182" s="16" t="str">
        <f aca="false">INDEX(Products!$B$2:$B$9,MATCH(D182,Products!$A$2:$A$9,0))</f>
        <v>Seasonal</v>
      </c>
      <c r="F182" s="17" t="n">
        <f aca="false">INDEX(Products!$C$2:$C$9,MATCH(D182,Products!$A$2:$A$9,0))</f>
        <v>5.75</v>
      </c>
      <c r="G182" s="18" t="n">
        <v>0</v>
      </c>
      <c r="H182" s="17" t="n">
        <f aca="false">F182*G182</f>
        <v>0</v>
      </c>
    </row>
    <row r="183" customFormat="false" ht="15" hidden="false" customHeight="false" outlineLevel="0" collapsed="false">
      <c r="A183" s="15" t="n">
        <v>45895</v>
      </c>
      <c r="B183" s="16" t="str">
        <f aca="false">TEXT(A183,"ddd")</f>
        <v>Tue</v>
      </c>
      <c r="C183" s="16" t="str">
        <f aca="false">TEXT(A183,"mmm")</f>
        <v>Aug</v>
      </c>
      <c r="D183" s="16" t="s">
        <v>36</v>
      </c>
      <c r="E183" s="16" t="str">
        <f aca="false">INDEX(Products!$B$2:$B$9,MATCH(D183,Products!$A$2:$A$9,0))</f>
        <v>Cold Drinks</v>
      </c>
      <c r="F183" s="17" t="n">
        <f aca="false">INDEX(Products!$C$2:$C$9,MATCH(D183,Products!$A$2:$A$9,0))</f>
        <v>3.95</v>
      </c>
      <c r="G183" s="18" t="n">
        <v>56</v>
      </c>
      <c r="H183" s="17" t="n">
        <f aca="false">F183*G183</f>
        <v>221.2</v>
      </c>
    </row>
    <row r="184" customFormat="false" ht="15" hidden="false" customHeight="false" outlineLevel="0" collapsed="false">
      <c r="A184" s="15" t="n">
        <v>45895</v>
      </c>
      <c r="B184" s="16" t="str">
        <f aca="false">TEXT(A184,"ddd")</f>
        <v>Tue</v>
      </c>
      <c r="C184" s="16" t="str">
        <f aca="false">TEXT(A184,"mmm")</f>
        <v>Aug</v>
      </c>
      <c r="D184" s="16" t="s">
        <v>38</v>
      </c>
      <c r="E184" s="16" t="str">
        <f aca="false">INDEX(Products!$B$2:$B$9,MATCH(D184,Products!$A$2:$A$9,0))</f>
        <v>Cold Drinks</v>
      </c>
      <c r="F184" s="17" t="n">
        <f aca="false">INDEX(Products!$C$2:$C$9,MATCH(D184,Products!$A$2:$A$9,0))</f>
        <v>4.45</v>
      </c>
      <c r="G184" s="18" t="n">
        <v>50</v>
      </c>
      <c r="H184" s="17" t="n">
        <f aca="false">F184*G184</f>
        <v>222.5</v>
      </c>
    </row>
    <row r="185" customFormat="false" ht="15" hidden="false" customHeight="false" outlineLevel="0" collapsed="false">
      <c r="A185" s="15" t="n">
        <v>45896</v>
      </c>
      <c r="B185" s="16" t="str">
        <f aca="false">TEXT(A185,"ddd")</f>
        <v>Wed</v>
      </c>
      <c r="C185" s="16" t="str">
        <f aca="false">TEXT(A185,"mmm")</f>
        <v>Aug</v>
      </c>
      <c r="D185" s="16" t="s">
        <v>28</v>
      </c>
      <c r="E185" s="16" t="str">
        <f aca="false">INDEX(Products!$B$2:$B$9,MATCH(D185,Products!$A$2:$A$9,0))</f>
        <v>Hot Espresso</v>
      </c>
      <c r="F185" s="17" t="n">
        <f aca="false">INDEX(Products!$C$2:$C$9,MATCH(D185,Products!$A$2:$A$9,0))</f>
        <v>4.95</v>
      </c>
      <c r="G185" s="18" t="n">
        <v>61</v>
      </c>
      <c r="H185" s="17" t="n">
        <f aca="false">F185*G185</f>
        <v>301.95</v>
      </c>
    </row>
    <row r="186" customFormat="false" ht="15" hidden="false" customHeight="false" outlineLevel="0" collapsed="false">
      <c r="A186" s="15" t="n">
        <v>45896</v>
      </c>
      <c r="B186" s="16" t="str">
        <f aca="false">TEXT(A186,"ddd")</f>
        <v>Wed</v>
      </c>
      <c r="C186" s="16" t="str">
        <f aca="false">TEXT(A186,"mmm")</f>
        <v>Aug</v>
      </c>
      <c r="D186" s="16" t="s">
        <v>30</v>
      </c>
      <c r="E186" s="16" t="str">
        <f aca="false">INDEX(Products!$B$2:$B$9,MATCH(D186,Products!$A$2:$A$9,0))</f>
        <v>Hot Espresso</v>
      </c>
      <c r="F186" s="17" t="n">
        <f aca="false">INDEX(Products!$C$2:$C$9,MATCH(D186,Products!$A$2:$A$9,0))</f>
        <v>4.75</v>
      </c>
      <c r="G186" s="18" t="n">
        <v>45</v>
      </c>
      <c r="H186" s="17" t="n">
        <f aca="false">F186*G186</f>
        <v>213.75</v>
      </c>
    </row>
    <row r="187" customFormat="false" ht="15" hidden="false" customHeight="false" outlineLevel="0" collapsed="false">
      <c r="A187" s="15" t="n">
        <v>45896</v>
      </c>
      <c r="B187" s="16" t="str">
        <f aca="false">TEXT(A187,"ddd")</f>
        <v>Wed</v>
      </c>
      <c r="C187" s="16" t="str">
        <f aca="false">TEXT(A187,"mmm")</f>
        <v>Aug</v>
      </c>
      <c r="D187" s="16" t="s">
        <v>31</v>
      </c>
      <c r="E187" s="16" t="str">
        <f aca="false">INDEX(Products!$B$2:$B$9,MATCH(D187,Products!$A$2:$A$9,0))</f>
        <v>Hot Espresso</v>
      </c>
      <c r="F187" s="17" t="n">
        <f aca="false">INDEX(Products!$C$2:$C$9,MATCH(D187,Products!$A$2:$A$9,0))</f>
        <v>5.45</v>
      </c>
      <c r="G187" s="18" t="n">
        <v>42</v>
      </c>
      <c r="H187" s="17" t="n">
        <f aca="false">F187*G187</f>
        <v>228.9</v>
      </c>
    </row>
    <row r="188" customFormat="false" ht="15" hidden="false" customHeight="false" outlineLevel="0" collapsed="false">
      <c r="A188" s="15" t="n">
        <v>45896</v>
      </c>
      <c r="B188" s="16" t="str">
        <f aca="false">TEXT(A188,"ddd")</f>
        <v>Wed</v>
      </c>
      <c r="C188" s="16" t="str">
        <f aca="false">TEXT(A188,"mmm")</f>
        <v>Aug</v>
      </c>
      <c r="D188" s="16" t="s">
        <v>32</v>
      </c>
      <c r="E188" s="16" t="str">
        <f aca="false">INDEX(Products!$B$2:$B$9,MATCH(D188,Products!$A$2:$A$9,0))</f>
        <v>Hot Espresso</v>
      </c>
      <c r="F188" s="17" t="n">
        <f aca="false">INDEX(Products!$C$2:$C$9,MATCH(D188,Products!$A$2:$A$9,0))</f>
        <v>3.75</v>
      </c>
      <c r="G188" s="18" t="n">
        <v>31</v>
      </c>
      <c r="H188" s="17" t="n">
        <f aca="false">F188*G188</f>
        <v>116.25</v>
      </c>
    </row>
    <row r="189" customFormat="false" ht="15" hidden="false" customHeight="false" outlineLevel="0" collapsed="false">
      <c r="A189" s="15" t="n">
        <v>45896</v>
      </c>
      <c r="B189" s="16" t="str">
        <f aca="false">TEXT(A189,"ddd")</f>
        <v>Wed</v>
      </c>
      <c r="C189" s="16" t="str">
        <f aca="false">TEXT(A189,"mmm")</f>
        <v>Aug</v>
      </c>
      <c r="D189" s="16" t="s">
        <v>33</v>
      </c>
      <c r="E189" s="16" t="str">
        <f aca="false">INDEX(Products!$B$2:$B$9,MATCH(D189,Products!$A$2:$A$9,0))</f>
        <v>Hot Espresso</v>
      </c>
      <c r="F189" s="17" t="n">
        <f aca="false">INDEX(Products!$C$2:$C$9,MATCH(D189,Products!$A$2:$A$9,0))</f>
        <v>5.25</v>
      </c>
      <c r="G189" s="18" t="n">
        <v>31</v>
      </c>
      <c r="H189" s="17" t="n">
        <f aca="false">F189*G189</f>
        <v>162.75</v>
      </c>
    </row>
    <row r="190" customFormat="false" ht="15" hidden="false" customHeight="false" outlineLevel="0" collapsed="false">
      <c r="A190" s="15" t="n">
        <v>45896</v>
      </c>
      <c r="B190" s="16" t="str">
        <f aca="false">TEXT(A190,"ddd")</f>
        <v>Wed</v>
      </c>
      <c r="C190" s="16" t="str">
        <f aca="false">TEXT(A190,"mmm")</f>
        <v>Aug</v>
      </c>
      <c r="D190" s="16" t="s">
        <v>34</v>
      </c>
      <c r="E190" s="16" t="str">
        <f aca="false">INDEX(Products!$B$2:$B$9,MATCH(D190,Products!$A$2:$A$9,0))</f>
        <v>Seasonal</v>
      </c>
      <c r="F190" s="17" t="n">
        <f aca="false">INDEX(Products!$C$2:$C$9,MATCH(D190,Products!$A$2:$A$9,0))</f>
        <v>5.75</v>
      </c>
      <c r="G190" s="18" t="n">
        <v>7</v>
      </c>
      <c r="H190" s="17" t="n">
        <f aca="false">F190*G190</f>
        <v>40.25</v>
      </c>
    </row>
    <row r="191" customFormat="false" ht="15" hidden="false" customHeight="false" outlineLevel="0" collapsed="false">
      <c r="A191" s="15" t="n">
        <v>45896</v>
      </c>
      <c r="B191" s="16" t="str">
        <f aca="false">TEXT(A191,"ddd")</f>
        <v>Wed</v>
      </c>
      <c r="C191" s="16" t="str">
        <f aca="false">TEXT(A191,"mmm")</f>
        <v>Aug</v>
      </c>
      <c r="D191" s="16" t="s">
        <v>36</v>
      </c>
      <c r="E191" s="16" t="str">
        <f aca="false">INDEX(Products!$B$2:$B$9,MATCH(D191,Products!$A$2:$A$9,0))</f>
        <v>Cold Drinks</v>
      </c>
      <c r="F191" s="17" t="n">
        <f aca="false">INDEX(Products!$C$2:$C$9,MATCH(D191,Products!$A$2:$A$9,0))</f>
        <v>3.95</v>
      </c>
      <c r="G191" s="18" t="n">
        <v>69</v>
      </c>
      <c r="H191" s="17" t="n">
        <f aca="false">F191*G191</f>
        <v>272.55</v>
      </c>
    </row>
    <row r="192" customFormat="false" ht="15" hidden="false" customHeight="false" outlineLevel="0" collapsed="false">
      <c r="A192" s="15" t="n">
        <v>45896</v>
      </c>
      <c r="B192" s="16" t="str">
        <f aca="false">TEXT(A192,"ddd")</f>
        <v>Wed</v>
      </c>
      <c r="C192" s="16" t="str">
        <f aca="false">TEXT(A192,"mmm")</f>
        <v>Aug</v>
      </c>
      <c r="D192" s="16" t="s">
        <v>38</v>
      </c>
      <c r="E192" s="16" t="str">
        <f aca="false">INDEX(Products!$B$2:$B$9,MATCH(D192,Products!$A$2:$A$9,0))</f>
        <v>Cold Drinks</v>
      </c>
      <c r="F192" s="17" t="n">
        <f aca="false">INDEX(Products!$C$2:$C$9,MATCH(D192,Products!$A$2:$A$9,0))</f>
        <v>4.45</v>
      </c>
      <c r="G192" s="18" t="n">
        <v>45</v>
      </c>
      <c r="H192" s="17" t="n">
        <f aca="false">F192*G192</f>
        <v>200.25</v>
      </c>
    </row>
    <row r="193" customFormat="false" ht="15" hidden="false" customHeight="false" outlineLevel="0" collapsed="false">
      <c r="A193" s="15" t="n">
        <v>45897</v>
      </c>
      <c r="B193" s="16" t="str">
        <f aca="false">TEXT(A193,"ddd")</f>
        <v>Thu</v>
      </c>
      <c r="C193" s="16" t="str">
        <f aca="false">TEXT(A193,"mmm")</f>
        <v>Aug</v>
      </c>
      <c r="D193" s="16" t="s">
        <v>28</v>
      </c>
      <c r="E193" s="16" t="str">
        <f aca="false">INDEX(Products!$B$2:$B$9,MATCH(D193,Products!$A$2:$A$9,0))</f>
        <v>Hot Espresso</v>
      </c>
      <c r="F193" s="17" t="n">
        <f aca="false">INDEX(Products!$C$2:$C$9,MATCH(D193,Products!$A$2:$A$9,0))</f>
        <v>4.95</v>
      </c>
      <c r="G193" s="18" t="n">
        <v>63</v>
      </c>
      <c r="H193" s="17" t="n">
        <f aca="false">F193*G193</f>
        <v>311.85</v>
      </c>
    </row>
    <row r="194" customFormat="false" ht="15" hidden="false" customHeight="false" outlineLevel="0" collapsed="false">
      <c r="A194" s="15" t="n">
        <v>45897</v>
      </c>
      <c r="B194" s="16" t="str">
        <f aca="false">TEXT(A194,"ddd")</f>
        <v>Thu</v>
      </c>
      <c r="C194" s="16" t="str">
        <f aca="false">TEXT(A194,"mmm")</f>
        <v>Aug</v>
      </c>
      <c r="D194" s="16" t="s">
        <v>30</v>
      </c>
      <c r="E194" s="16" t="str">
        <f aca="false">INDEX(Products!$B$2:$B$9,MATCH(D194,Products!$A$2:$A$9,0))</f>
        <v>Hot Espresso</v>
      </c>
      <c r="F194" s="17" t="n">
        <f aca="false">INDEX(Products!$C$2:$C$9,MATCH(D194,Products!$A$2:$A$9,0))</f>
        <v>4.75</v>
      </c>
      <c r="G194" s="18" t="n">
        <v>48</v>
      </c>
      <c r="H194" s="17" t="n">
        <f aca="false">F194*G194</f>
        <v>228</v>
      </c>
    </row>
    <row r="195" customFormat="false" ht="15" hidden="false" customHeight="false" outlineLevel="0" collapsed="false">
      <c r="A195" s="15" t="n">
        <v>45897</v>
      </c>
      <c r="B195" s="16" t="str">
        <f aca="false">TEXT(A195,"ddd")</f>
        <v>Thu</v>
      </c>
      <c r="C195" s="16" t="str">
        <f aca="false">TEXT(A195,"mmm")</f>
        <v>Aug</v>
      </c>
      <c r="D195" s="16" t="s">
        <v>31</v>
      </c>
      <c r="E195" s="16" t="str">
        <f aca="false">INDEX(Products!$B$2:$B$9,MATCH(D195,Products!$A$2:$A$9,0))</f>
        <v>Hot Espresso</v>
      </c>
      <c r="F195" s="17" t="n">
        <f aca="false">INDEX(Products!$C$2:$C$9,MATCH(D195,Products!$A$2:$A$9,0))</f>
        <v>5.45</v>
      </c>
      <c r="G195" s="18" t="n">
        <v>48</v>
      </c>
      <c r="H195" s="17" t="n">
        <f aca="false">F195*G195</f>
        <v>261.6</v>
      </c>
    </row>
    <row r="196" customFormat="false" ht="15" hidden="false" customHeight="false" outlineLevel="0" collapsed="false">
      <c r="A196" s="15" t="n">
        <v>45897</v>
      </c>
      <c r="B196" s="16" t="str">
        <f aca="false">TEXT(A196,"ddd")</f>
        <v>Thu</v>
      </c>
      <c r="C196" s="16" t="str">
        <f aca="false">TEXT(A196,"mmm")</f>
        <v>Aug</v>
      </c>
      <c r="D196" s="16" t="s">
        <v>32</v>
      </c>
      <c r="E196" s="16" t="str">
        <f aca="false">INDEX(Products!$B$2:$B$9,MATCH(D196,Products!$A$2:$A$9,0))</f>
        <v>Hot Espresso</v>
      </c>
      <c r="F196" s="17" t="n">
        <f aca="false">INDEX(Products!$C$2:$C$9,MATCH(D196,Products!$A$2:$A$9,0))</f>
        <v>3.75</v>
      </c>
      <c r="G196" s="18" t="n">
        <v>26</v>
      </c>
      <c r="H196" s="17" t="n">
        <f aca="false">F196*G196</f>
        <v>97.5</v>
      </c>
    </row>
    <row r="197" customFormat="false" ht="15" hidden="false" customHeight="false" outlineLevel="0" collapsed="false">
      <c r="A197" s="15" t="n">
        <v>45897</v>
      </c>
      <c r="B197" s="16" t="str">
        <f aca="false">TEXT(A197,"ddd")</f>
        <v>Thu</v>
      </c>
      <c r="C197" s="16" t="str">
        <f aca="false">TEXT(A197,"mmm")</f>
        <v>Aug</v>
      </c>
      <c r="D197" s="16" t="s">
        <v>33</v>
      </c>
      <c r="E197" s="16" t="str">
        <f aca="false">INDEX(Products!$B$2:$B$9,MATCH(D197,Products!$A$2:$A$9,0))</f>
        <v>Hot Espresso</v>
      </c>
      <c r="F197" s="17" t="n">
        <f aca="false">INDEX(Products!$C$2:$C$9,MATCH(D197,Products!$A$2:$A$9,0))</f>
        <v>5.25</v>
      </c>
      <c r="G197" s="18" t="n">
        <v>34</v>
      </c>
      <c r="H197" s="17" t="n">
        <f aca="false">F197*G197</f>
        <v>178.5</v>
      </c>
    </row>
    <row r="198" customFormat="false" ht="15" hidden="false" customHeight="false" outlineLevel="0" collapsed="false">
      <c r="A198" s="15" t="n">
        <v>45897</v>
      </c>
      <c r="B198" s="16" t="str">
        <f aca="false">TEXT(A198,"ddd")</f>
        <v>Thu</v>
      </c>
      <c r="C198" s="16" t="str">
        <f aca="false">TEXT(A198,"mmm")</f>
        <v>Aug</v>
      </c>
      <c r="D198" s="16" t="s">
        <v>34</v>
      </c>
      <c r="E198" s="16" t="str">
        <f aca="false">INDEX(Products!$B$2:$B$9,MATCH(D198,Products!$A$2:$A$9,0))</f>
        <v>Seasonal</v>
      </c>
      <c r="F198" s="17" t="n">
        <f aca="false">INDEX(Products!$C$2:$C$9,MATCH(D198,Products!$A$2:$A$9,0))</f>
        <v>5.75</v>
      </c>
      <c r="G198" s="18" t="n">
        <v>14</v>
      </c>
      <c r="H198" s="17" t="n">
        <f aca="false">F198*G198</f>
        <v>80.5</v>
      </c>
    </row>
    <row r="199" customFormat="false" ht="15" hidden="false" customHeight="false" outlineLevel="0" collapsed="false">
      <c r="A199" s="15" t="n">
        <v>45897</v>
      </c>
      <c r="B199" s="16" t="str">
        <f aca="false">TEXT(A199,"ddd")</f>
        <v>Thu</v>
      </c>
      <c r="C199" s="16" t="str">
        <f aca="false">TEXT(A199,"mmm")</f>
        <v>Aug</v>
      </c>
      <c r="D199" s="16" t="s">
        <v>36</v>
      </c>
      <c r="E199" s="16" t="str">
        <f aca="false">INDEX(Products!$B$2:$B$9,MATCH(D199,Products!$A$2:$A$9,0))</f>
        <v>Cold Drinks</v>
      </c>
      <c r="F199" s="17" t="n">
        <f aca="false">INDEX(Products!$C$2:$C$9,MATCH(D199,Products!$A$2:$A$9,0))</f>
        <v>3.95</v>
      </c>
      <c r="G199" s="18" t="n">
        <v>63</v>
      </c>
      <c r="H199" s="17" t="n">
        <f aca="false">F199*G199</f>
        <v>248.85</v>
      </c>
    </row>
    <row r="200" customFormat="false" ht="15" hidden="false" customHeight="false" outlineLevel="0" collapsed="false">
      <c r="A200" s="15" t="n">
        <v>45897</v>
      </c>
      <c r="B200" s="16" t="str">
        <f aca="false">TEXT(A200,"ddd")</f>
        <v>Thu</v>
      </c>
      <c r="C200" s="16" t="str">
        <f aca="false">TEXT(A200,"mmm")</f>
        <v>Aug</v>
      </c>
      <c r="D200" s="16" t="s">
        <v>38</v>
      </c>
      <c r="E200" s="16" t="str">
        <f aca="false">INDEX(Products!$B$2:$B$9,MATCH(D200,Products!$A$2:$A$9,0))</f>
        <v>Cold Drinks</v>
      </c>
      <c r="F200" s="17" t="n">
        <f aca="false">INDEX(Products!$C$2:$C$9,MATCH(D200,Products!$A$2:$A$9,0))</f>
        <v>4.45</v>
      </c>
      <c r="G200" s="18" t="n">
        <v>55</v>
      </c>
      <c r="H200" s="17" t="n">
        <f aca="false">F200*G200</f>
        <v>244.75</v>
      </c>
    </row>
    <row r="201" customFormat="false" ht="15" hidden="false" customHeight="false" outlineLevel="0" collapsed="false">
      <c r="A201" s="15" t="n">
        <v>45898</v>
      </c>
      <c r="B201" s="16" t="str">
        <f aca="false">TEXT(A201,"ddd")</f>
        <v>Fri</v>
      </c>
      <c r="C201" s="16" t="str">
        <f aca="false">TEXT(A201,"mmm")</f>
        <v>Aug</v>
      </c>
      <c r="D201" s="16" t="s">
        <v>28</v>
      </c>
      <c r="E201" s="16" t="str">
        <f aca="false">INDEX(Products!$B$2:$B$9,MATCH(D201,Products!$A$2:$A$9,0))</f>
        <v>Hot Espresso</v>
      </c>
      <c r="F201" s="17" t="n">
        <f aca="false">INDEX(Products!$C$2:$C$9,MATCH(D201,Products!$A$2:$A$9,0))</f>
        <v>4.95</v>
      </c>
      <c r="G201" s="18" t="n">
        <v>61</v>
      </c>
      <c r="H201" s="17" t="n">
        <f aca="false">F201*G201</f>
        <v>301.95</v>
      </c>
    </row>
    <row r="202" customFormat="false" ht="15" hidden="false" customHeight="false" outlineLevel="0" collapsed="false">
      <c r="A202" s="15" t="n">
        <v>45898</v>
      </c>
      <c r="B202" s="16" t="str">
        <f aca="false">TEXT(A202,"ddd")</f>
        <v>Fri</v>
      </c>
      <c r="C202" s="16" t="str">
        <f aca="false">TEXT(A202,"mmm")</f>
        <v>Aug</v>
      </c>
      <c r="D202" s="16" t="s">
        <v>30</v>
      </c>
      <c r="E202" s="16" t="str">
        <f aca="false">INDEX(Products!$B$2:$B$9,MATCH(D202,Products!$A$2:$A$9,0))</f>
        <v>Hot Espresso</v>
      </c>
      <c r="F202" s="17" t="n">
        <f aca="false">INDEX(Products!$C$2:$C$9,MATCH(D202,Products!$A$2:$A$9,0))</f>
        <v>4.75</v>
      </c>
      <c r="G202" s="18" t="n">
        <v>57</v>
      </c>
      <c r="H202" s="17" t="n">
        <f aca="false">F202*G202</f>
        <v>270.75</v>
      </c>
    </row>
    <row r="203" customFormat="false" ht="15" hidden="false" customHeight="false" outlineLevel="0" collapsed="false">
      <c r="A203" s="15" t="n">
        <v>45898</v>
      </c>
      <c r="B203" s="16" t="str">
        <f aca="false">TEXT(A203,"ddd")</f>
        <v>Fri</v>
      </c>
      <c r="C203" s="16" t="str">
        <f aca="false">TEXT(A203,"mmm")</f>
        <v>Aug</v>
      </c>
      <c r="D203" s="16" t="s">
        <v>31</v>
      </c>
      <c r="E203" s="16" t="str">
        <f aca="false">INDEX(Products!$B$2:$B$9,MATCH(D203,Products!$A$2:$A$9,0))</f>
        <v>Hot Espresso</v>
      </c>
      <c r="F203" s="17" t="n">
        <f aca="false">INDEX(Products!$C$2:$C$9,MATCH(D203,Products!$A$2:$A$9,0))</f>
        <v>5.45</v>
      </c>
      <c r="G203" s="18" t="n">
        <v>39</v>
      </c>
      <c r="H203" s="17" t="n">
        <f aca="false">F203*G203</f>
        <v>212.55</v>
      </c>
    </row>
    <row r="204" customFormat="false" ht="15" hidden="false" customHeight="false" outlineLevel="0" collapsed="false">
      <c r="A204" s="15" t="n">
        <v>45898</v>
      </c>
      <c r="B204" s="16" t="str">
        <f aca="false">TEXT(A204,"ddd")</f>
        <v>Fri</v>
      </c>
      <c r="C204" s="16" t="str">
        <f aca="false">TEXT(A204,"mmm")</f>
        <v>Aug</v>
      </c>
      <c r="D204" s="16" t="s">
        <v>32</v>
      </c>
      <c r="E204" s="16" t="str">
        <f aca="false">INDEX(Products!$B$2:$B$9,MATCH(D204,Products!$A$2:$A$9,0))</f>
        <v>Hot Espresso</v>
      </c>
      <c r="F204" s="17" t="n">
        <f aca="false">INDEX(Products!$C$2:$C$9,MATCH(D204,Products!$A$2:$A$9,0))</f>
        <v>3.75</v>
      </c>
      <c r="G204" s="18" t="n">
        <v>31</v>
      </c>
      <c r="H204" s="17" t="n">
        <f aca="false">F204*G204</f>
        <v>116.25</v>
      </c>
    </row>
    <row r="205" customFormat="false" ht="15" hidden="false" customHeight="false" outlineLevel="0" collapsed="false">
      <c r="A205" s="15" t="n">
        <v>45898</v>
      </c>
      <c r="B205" s="16" t="str">
        <f aca="false">TEXT(A205,"ddd")</f>
        <v>Fri</v>
      </c>
      <c r="C205" s="16" t="str">
        <f aca="false">TEXT(A205,"mmm")</f>
        <v>Aug</v>
      </c>
      <c r="D205" s="16" t="s">
        <v>33</v>
      </c>
      <c r="E205" s="16" t="str">
        <f aca="false">INDEX(Products!$B$2:$B$9,MATCH(D205,Products!$A$2:$A$9,0))</f>
        <v>Hot Espresso</v>
      </c>
      <c r="F205" s="17" t="n">
        <f aca="false">INDEX(Products!$C$2:$C$9,MATCH(D205,Products!$A$2:$A$9,0))</f>
        <v>5.25</v>
      </c>
      <c r="G205" s="18" t="n">
        <v>31</v>
      </c>
      <c r="H205" s="17" t="n">
        <f aca="false">F205*G205</f>
        <v>162.75</v>
      </c>
    </row>
    <row r="206" customFormat="false" ht="15" hidden="false" customHeight="false" outlineLevel="0" collapsed="false">
      <c r="A206" s="15" t="n">
        <v>45898</v>
      </c>
      <c r="B206" s="16" t="str">
        <f aca="false">TEXT(A206,"ddd")</f>
        <v>Fri</v>
      </c>
      <c r="C206" s="16" t="str">
        <f aca="false">TEXT(A206,"mmm")</f>
        <v>Aug</v>
      </c>
      <c r="D206" s="16" t="s">
        <v>34</v>
      </c>
      <c r="E206" s="16" t="str">
        <f aca="false">INDEX(Products!$B$2:$B$9,MATCH(D206,Products!$A$2:$A$9,0))</f>
        <v>Seasonal</v>
      </c>
      <c r="F206" s="17" t="n">
        <f aca="false">INDEX(Products!$C$2:$C$9,MATCH(D206,Products!$A$2:$A$9,0))</f>
        <v>5.75</v>
      </c>
      <c r="G206" s="18" t="n">
        <v>20</v>
      </c>
      <c r="H206" s="17" t="n">
        <f aca="false">F206*G206</f>
        <v>115</v>
      </c>
    </row>
    <row r="207" customFormat="false" ht="15" hidden="false" customHeight="false" outlineLevel="0" collapsed="false">
      <c r="A207" s="15" t="n">
        <v>45898</v>
      </c>
      <c r="B207" s="16" t="str">
        <f aca="false">TEXT(A207,"ddd")</f>
        <v>Fri</v>
      </c>
      <c r="C207" s="16" t="str">
        <f aca="false">TEXT(A207,"mmm")</f>
        <v>Aug</v>
      </c>
      <c r="D207" s="16" t="s">
        <v>36</v>
      </c>
      <c r="E207" s="16" t="str">
        <f aca="false">INDEX(Products!$B$2:$B$9,MATCH(D207,Products!$A$2:$A$9,0))</f>
        <v>Cold Drinks</v>
      </c>
      <c r="F207" s="17" t="n">
        <f aca="false">INDEX(Products!$C$2:$C$9,MATCH(D207,Products!$A$2:$A$9,0))</f>
        <v>3.95</v>
      </c>
      <c r="G207" s="18" t="n">
        <v>63</v>
      </c>
      <c r="H207" s="17" t="n">
        <f aca="false">F207*G207</f>
        <v>248.85</v>
      </c>
    </row>
    <row r="208" customFormat="false" ht="15" hidden="false" customHeight="false" outlineLevel="0" collapsed="false">
      <c r="A208" s="15" t="n">
        <v>45898</v>
      </c>
      <c r="B208" s="16" t="str">
        <f aca="false">TEXT(A208,"ddd")</f>
        <v>Fri</v>
      </c>
      <c r="C208" s="16" t="str">
        <f aca="false">TEXT(A208,"mmm")</f>
        <v>Aug</v>
      </c>
      <c r="D208" s="16" t="s">
        <v>38</v>
      </c>
      <c r="E208" s="16" t="str">
        <f aca="false">INDEX(Products!$B$2:$B$9,MATCH(D208,Products!$A$2:$A$9,0))</f>
        <v>Cold Drinks</v>
      </c>
      <c r="F208" s="17" t="n">
        <f aca="false">INDEX(Products!$C$2:$C$9,MATCH(D208,Products!$A$2:$A$9,0))</f>
        <v>4.45</v>
      </c>
      <c r="G208" s="18" t="n">
        <v>46</v>
      </c>
      <c r="H208" s="17" t="n">
        <f aca="false">F208*G208</f>
        <v>204.7</v>
      </c>
    </row>
    <row r="209" customFormat="false" ht="15" hidden="false" customHeight="false" outlineLevel="0" collapsed="false">
      <c r="A209" s="15" t="n">
        <v>45899</v>
      </c>
      <c r="B209" s="16" t="str">
        <f aca="false">TEXT(A209,"ddd")</f>
        <v>Sat</v>
      </c>
      <c r="C209" s="16" t="str">
        <f aca="false">TEXT(A209,"mmm")</f>
        <v>Aug</v>
      </c>
      <c r="D209" s="16" t="s">
        <v>28</v>
      </c>
      <c r="E209" s="16" t="str">
        <f aca="false">INDEX(Products!$B$2:$B$9,MATCH(D209,Products!$A$2:$A$9,0))</f>
        <v>Hot Espresso</v>
      </c>
      <c r="F209" s="17" t="n">
        <f aca="false">INDEX(Products!$C$2:$C$9,MATCH(D209,Products!$A$2:$A$9,0))</f>
        <v>4.95</v>
      </c>
      <c r="G209" s="18" t="n">
        <v>74</v>
      </c>
      <c r="H209" s="17" t="n">
        <f aca="false">F209*G209</f>
        <v>366.3</v>
      </c>
    </row>
    <row r="210" customFormat="false" ht="15" hidden="false" customHeight="false" outlineLevel="0" collapsed="false">
      <c r="A210" s="15" t="n">
        <v>45899</v>
      </c>
      <c r="B210" s="16" t="str">
        <f aca="false">TEXT(A210,"ddd")</f>
        <v>Sat</v>
      </c>
      <c r="C210" s="16" t="str">
        <f aca="false">TEXT(A210,"mmm")</f>
        <v>Aug</v>
      </c>
      <c r="D210" s="16" t="s">
        <v>30</v>
      </c>
      <c r="E210" s="16" t="str">
        <f aca="false">INDEX(Products!$B$2:$B$9,MATCH(D210,Products!$A$2:$A$9,0))</f>
        <v>Hot Espresso</v>
      </c>
      <c r="F210" s="17" t="n">
        <f aca="false">INDEX(Products!$C$2:$C$9,MATCH(D210,Products!$A$2:$A$9,0))</f>
        <v>4.75</v>
      </c>
      <c r="G210" s="18" t="n">
        <v>47</v>
      </c>
      <c r="H210" s="17" t="n">
        <f aca="false">F210*G210</f>
        <v>223.25</v>
      </c>
    </row>
    <row r="211" customFormat="false" ht="15" hidden="false" customHeight="false" outlineLevel="0" collapsed="false">
      <c r="A211" s="15" t="n">
        <v>45899</v>
      </c>
      <c r="B211" s="16" t="str">
        <f aca="false">TEXT(A211,"ddd")</f>
        <v>Sat</v>
      </c>
      <c r="C211" s="16" t="str">
        <f aca="false">TEXT(A211,"mmm")</f>
        <v>Aug</v>
      </c>
      <c r="D211" s="16" t="s">
        <v>31</v>
      </c>
      <c r="E211" s="16" t="str">
        <f aca="false">INDEX(Products!$B$2:$B$9,MATCH(D211,Products!$A$2:$A$9,0))</f>
        <v>Hot Espresso</v>
      </c>
      <c r="F211" s="17" t="n">
        <f aca="false">INDEX(Products!$C$2:$C$9,MATCH(D211,Products!$A$2:$A$9,0))</f>
        <v>5.45</v>
      </c>
      <c r="G211" s="18" t="n">
        <v>56</v>
      </c>
      <c r="H211" s="17" t="n">
        <f aca="false">F211*G211</f>
        <v>305.2</v>
      </c>
    </row>
    <row r="212" customFormat="false" ht="15" hidden="false" customHeight="false" outlineLevel="0" collapsed="false">
      <c r="A212" s="15" t="n">
        <v>45899</v>
      </c>
      <c r="B212" s="16" t="str">
        <f aca="false">TEXT(A212,"ddd")</f>
        <v>Sat</v>
      </c>
      <c r="C212" s="16" t="str">
        <f aca="false">TEXT(A212,"mmm")</f>
        <v>Aug</v>
      </c>
      <c r="D212" s="16" t="s">
        <v>32</v>
      </c>
      <c r="E212" s="16" t="str">
        <f aca="false">INDEX(Products!$B$2:$B$9,MATCH(D212,Products!$A$2:$A$9,0))</f>
        <v>Hot Espresso</v>
      </c>
      <c r="F212" s="17" t="n">
        <f aca="false">INDEX(Products!$C$2:$C$9,MATCH(D212,Products!$A$2:$A$9,0))</f>
        <v>3.75</v>
      </c>
      <c r="G212" s="18" t="n">
        <v>35</v>
      </c>
      <c r="H212" s="17" t="n">
        <f aca="false">F212*G212</f>
        <v>131.25</v>
      </c>
    </row>
    <row r="213" customFormat="false" ht="15" hidden="false" customHeight="false" outlineLevel="0" collapsed="false">
      <c r="A213" s="15" t="n">
        <v>45899</v>
      </c>
      <c r="B213" s="16" t="str">
        <f aca="false">TEXT(A213,"ddd")</f>
        <v>Sat</v>
      </c>
      <c r="C213" s="16" t="str">
        <f aca="false">TEXT(A213,"mmm")</f>
        <v>Aug</v>
      </c>
      <c r="D213" s="16" t="s">
        <v>33</v>
      </c>
      <c r="E213" s="16" t="str">
        <f aca="false">INDEX(Products!$B$2:$B$9,MATCH(D213,Products!$A$2:$A$9,0))</f>
        <v>Hot Espresso</v>
      </c>
      <c r="F213" s="17" t="n">
        <f aca="false">INDEX(Products!$C$2:$C$9,MATCH(D213,Products!$A$2:$A$9,0))</f>
        <v>5.25</v>
      </c>
      <c r="G213" s="18" t="n">
        <v>44</v>
      </c>
      <c r="H213" s="17" t="n">
        <f aca="false">F213*G213</f>
        <v>231</v>
      </c>
    </row>
    <row r="214" customFormat="false" ht="15" hidden="false" customHeight="false" outlineLevel="0" collapsed="false">
      <c r="A214" s="15" t="n">
        <v>45899</v>
      </c>
      <c r="B214" s="16" t="str">
        <f aca="false">TEXT(A214,"ddd")</f>
        <v>Sat</v>
      </c>
      <c r="C214" s="16" t="str">
        <f aca="false">TEXT(A214,"mmm")</f>
        <v>Aug</v>
      </c>
      <c r="D214" s="16" t="s">
        <v>34</v>
      </c>
      <c r="E214" s="16" t="str">
        <f aca="false">INDEX(Products!$B$2:$B$9,MATCH(D214,Products!$A$2:$A$9,0))</f>
        <v>Seasonal</v>
      </c>
      <c r="F214" s="17" t="n">
        <f aca="false">INDEX(Products!$C$2:$C$9,MATCH(D214,Products!$A$2:$A$9,0))</f>
        <v>5.75</v>
      </c>
      <c r="G214" s="18" t="n">
        <v>30</v>
      </c>
      <c r="H214" s="17" t="n">
        <f aca="false">F214*G214</f>
        <v>172.5</v>
      </c>
    </row>
    <row r="215" customFormat="false" ht="15" hidden="false" customHeight="false" outlineLevel="0" collapsed="false">
      <c r="A215" s="15" t="n">
        <v>45899</v>
      </c>
      <c r="B215" s="16" t="str">
        <f aca="false">TEXT(A215,"ddd")</f>
        <v>Sat</v>
      </c>
      <c r="C215" s="16" t="str">
        <f aca="false">TEXT(A215,"mmm")</f>
        <v>Aug</v>
      </c>
      <c r="D215" s="16" t="s">
        <v>36</v>
      </c>
      <c r="E215" s="16" t="str">
        <f aca="false">INDEX(Products!$B$2:$B$9,MATCH(D215,Products!$A$2:$A$9,0))</f>
        <v>Cold Drinks</v>
      </c>
      <c r="F215" s="17" t="n">
        <f aca="false">INDEX(Products!$C$2:$C$9,MATCH(D215,Products!$A$2:$A$9,0))</f>
        <v>3.95</v>
      </c>
      <c r="G215" s="18" t="n">
        <v>75</v>
      </c>
      <c r="H215" s="17" t="n">
        <f aca="false">F215*G215</f>
        <v>296.25</v>
      </c>
    </row>
    <row r="216" customFormat="false" ht="15" hidden="false" customHeight="false" outlineLevel="0" collapsed="false">
      <c r="A216" s="15" t="n">
        <v>45899</v>
      </c>
      <c r="B216" s="16" t="str">
        <f aca="false">TEXT(A216,"ddd")</f>
        <v>Sat</v>
      </c>
      <c r="C216" s="16" t="str">
        <f aca="false">TEXT(A216,"mmm")</f>
        <v>Aug</v>
      </c>
      <c r="D216" s="16" t="s">
        <v>38</v>
      </c>
      <c r="E216" s="16" t="str">
        <f aca="false">INDEX(Products!$B$2:$B$9,MATCH(D216,Products!$A$2:$A$9,0))</f>
        <v>Cold Drinks</v>
      </c>
      <c r="F216" s="17" t="n">
        <f aca="false">INDEX(Products!$C$2:$C$9,MATCH(D216,Products!$A$2:$A$9,0))</f>
        <v>4.45</v>
      </c>
      <c r="G216" s="18" t="n">
        <v>70</v>
      </c>
      <c r="H216" s="17" t="n">
        <f aca="false">F216*G216</f>
        <v>311.5</v>
      </c>
    </row>
    <row r="217" customFormat="false" ht="15" hidden="false" customHeight="false" outlineLevel="0" collapsed="false">
      <c r="A217" s="15" t="n">
        <v>45900</v>
      </c>
      <c r="B217" s="16" t="str">
        <f aca="false">TEXT(A217,"ddd")</f>
        <v>Sun</v>
      </c>
      <c r="C217" s="16" t="str">
        <f aca="false">TEXT(A217,"mmm")</f>
        <v>Aug</v>
      </c>
      <c r="D217" s="16" t="s">
        <v>28</v>
      </c>
      <c r="E217" s="16" t="str">
        <f aca="false">INDEX(Products!$B$2:$B$9,MATCH(D217,Products!$A$2:$A$9,0))</f>
        <v>Hot Espresso</v>
      </c>
      <c r="F217" s="17" t="n">
        <f aca="false">INDEX(Products!$C$2:$C$9,MATCH(D217,Products!$A$2:$A$9,0))</f>
        <v>4.95</v>
      </c>
      <c r="G217" s="18" t="n">
        <v>63</v>
      </c>
      <c r="H217" s="17" t="n">
        <f aca="false">F217*G217</f>
        <v>311.85</v>
      </c>
    </row>
    <row r="218" customFormat="false" ht="15" hidden="false" customHeight="false" outlineLevel="0" collapsed="false">
      <c r="A218" s="15" t="n">
        <v>45900</v>
      </c>
      <c r="B218" s="16" t="str">
        <f aca="false">TEXT(A218,"ddd")</f>
        <v>Sun</v>
      </c>
      <c r="C218" s="16" t="str">
        <f aca="false">TEXT(A218,"mmm")</f>
        <v>Aug</v>
      </c>
      <c r="D218" s="16" t="s">
        <v>30</v>
      </c>
      <c r="E218" s="16" t="str">
        <f aca="false">INDEX(Products!$B$2:$B$9,MATCH(D218,Products!$A$2:$A$9,0))</f>
        <v>Hot Espresso</v>
      </c>
      <c r="F218" s="17" t="n">
        <f aca="false">INDEX(Products!$C$2:$C$9,MATCH(D218,Products!$A$2:$A$9,0))</f>
        <v>4.75</v>
      </c>
      <c r="G218" s="18" t="n">
        <v>46</v>
      </c>
      <c r="H218" s="17" t="n">
        <f aca="false">F218*G218</f>
        <v>218.5</v>
      </c>
    </row>
    <row r="219" customFormat="false" ht="15" hidden="false" customHeight="false" outlineLevel="0" collapsed="false">
      <c r="A219" s="15" t="n">
        <v>45900</v>
      </c>
      <c r="B219" s="16" t="str">
        <f aca="false">TEXT(A219,"ddd")</f>
        <v>Sun</v>
      </c>
      <c r="C219" s="16" t="str">
        <f aca="false">TEXT(A219,"mmm")</f>
        <v>Aug</v>
      </c>
      <c r="D219" s="16" t="s">
        <v>31</v>
      </c>
      <c r="E219" s="16" t="str">
        <f aca="false">INDEX(Products!$B$2:$B$9,MATCH(D219,Products!$A$2:$A$9,0))</f>
        <v>Hot Espresso</v>
      </c>
      <c r="F219" s="17" t="n">
        <f aca="false">INDEX(Products!$C$2:$C$9,MATCH(D219,Products!$A$2:$A$9,0))</f>
        <v>5.45</v>
      </c>
      <c r="G219" s="18" t="n">
        <v>43</v>
      </c>
      <c r="H219" s="17" t="n">
        <f aca="false">F219*G219</f>
        <v>234.35</v>
      </c>
    </row>
    <row r="220" customFormat="false" ht="15" hidden="false" customHeight="false" outlineLevel="0" collapsed="false">
      <c r="A220" s="15" t="n">
        <v>45900</v>
      </c>
      <c r="B220" s="16" t="str">
        <f aca="false">TEXT(A220,"ddd")</f>
        <v>Sun</v>
      </c>
      <c r="C220" s="16" t="str">
        <f aca="false">TEXT(A220,"mmm")</f>
        <v>Aug</v>
      </c>
      <c r="D220" s="16" t="s">
        <v>32</v>
      </c>
      <c r="E220" s="16" t="str">
        <f aca="false">INDEX(Products!$B$2:$B$9,MATCH(D220,Products!$A$2:$A$9,0))</f>
        <v>Hot Espresso</v>
      </c>
      <c r="F220" s="17" t="n">
        <f aca="false">INDEX(Products!$C$2:$C$9,MATCH(D220,Products!$A$2:$A$9,0))</f>
        <v>3.75</v>
      </c>
      <c r="G220" s="18" t="n">
        <v>34</v>
      </c>
      <c r="H220" s="17" t="n">
        <f aca="false">F220*G220</f>
        <v>127.5</v>
      </c>
    </row>
    <row r="221" customFormat="false" ht="15" hidden="false" customHeight="false" outlineLevel="0" collapsed="false">
      <c r="A221" s="15" t="n">
        <v>45900</v>
      </c>
      <c r="B221" s="16" t="str">
        <f aca="false">TEXT(A221,"ddd")</f>
        <v>Sun</v>
      </c>
      <c r="C221" s="16" t="str">
        <f aca="false">TEXT(A221,"mmm")</f>
        <v>Aug</v>
      </c>
      <c r="D221" s="16" t="s">
        <v>33</v>
      </c>
      <c r="E221" s="16" t="str">
        <f aca="false">INDEX(Products!$B$2:$B$9,MATCH(D221,Products!$A$2:$A$9,0))</f>
        <v>Hot Espresso</v>
      </c>
      <c r="F221" s="17" t="n">
        <f aca="false">INDEX(Products!$C$2:$C$9,MATCH(D221,Products!$A$2:$A$9,0))</f>
        <v>5.25</v>
      </c>
      <c r="G221" s="18" t="n">
        <v>38</v>
      </c>
      <c r="H221" s="17" t="n">
        <f aca="false">F221*G221</f>
        <v>199.5</v>
      </c>
    </row>
    <row r="222" customFormat="false" ht="15" hidden="false" customHeight="false" outlineLevel="0" collapsed="false">
      <c r="A222" s="15" t="n">
        <v>45900</v>
      </c>
      <c r="B222" s="16" t="str">
        <f aca="false">TEXT(A222,"ddd")</f>
        <v>Sun</v>
      </c>
      <c r="C222" s="16" t="str">
        <f aca="false">TEXT(A222,"mmm")</f>
        <v>Aug</v>
      </c>
      <c r="D222" s="16" t="s">
        <v>34</v>
      </c>
      <c r="E222" s="16" t="str">
        <f aca="false">INDEX(Products!$B$2:$B$9,MATCH(D222,Products!$A$2:$A$9,0))</f>
        <v>Seasonal</v>
      </c>
      <c r="F222" s="17" t="n">
        <f aca="false">INDEX(Products!$C$2:$C$9,MATCH(D222,Products!$A$2:$A$9,0))</f>
        <v>5.75</v>
      </c>
      <c r="G222" s="18" t="n">
        <v>43</v>
      </c>
      <c r="H222" s="17" t="n">
        <f aca="false">F222*G222</f>
        <v>247.25</v>
      </c>
    </row>
    <row r="223" customFormat="false" ht="15" hidden="false" customHeight="false" outlineLevel="0" collapsed="false">
      <c r="A223" s="15" t="n">
        <v>45900</v>
      </c>
      <c r="B223" s="16" t="str">
        <f aca="false">TEXT(A223,"ddd")</f>
        <v>Sun</v>
      </c>
      <c r="C223" s="16" t="str">
        <f aca="false">TEXT(A223,"mmm")</f>
        <v>Aug</v>
      </c>
      <c r="D223" s="16" t="s">
        <v>36</v>
      </c>
      <c r="E223" s="16" t="str">
        <f aca="false">INDEX(Products!$B$2:$B$9,MATCH(D223,Products!$A$2:$A$9,0))</f>
        <v>Cold Drinks</v>
      </c>
      <c r="F223" s="17" t="n">
        <f aca="false">INDEX(Products!$C$2:$C$9,MATCH(D223,Products!$A$2:$A$9,0))</f>
        <v>3.95</v>
      </c>
      <c r="G223" s="18" t="n">
        <v>67</v>
      </c>
      <c r="H223" s="17" t="n">
        <f aca="false">F223*G223</f>
        <v>264.65</v>
      </c>
    </row>
    <row r="224" customFormat="false" ht="15" hidden="false" customHeight="false" outlineLevel="0" collapsed="false">
      <c r="A224" s="15" t="n">
        <v>45900</v>
      </c>
      <c r="B224" s="16" t="str">
        <f aca="false">TEXT(A224,"ddd")</f>
        <v>Sun</v>
      </c>
      <c r="C224" s="16" t="str">
        <f aca="false">TEXT(A224,"mmm")</f>
        <v>Aug</v>
      </c>
      <c r="D224" s="16" t="s">
        <v>38</v>
      </c>
      <c r="E224" s="16" t="str">
        <f aca="false">INDEX(Products!$B$2:$B$9,MATCH(D224,Products!$A$2:$A$9,0))</f>
        <v>Cold Drinks</v>
      </c>
      <c r="F224" s="17" t="n">
        <f aca="false">INDEX(Products!$C$2:$C$9,MATCH(D224,Products!$A$2:$A$9,0))</f>
        <v>4.45</v>
      </c>
      <c r="G224" s="18" t="n">
        <v>45</v>
      </c>
      <c r="H224" s="17" t="n">
        <f aca="false">F224*G224</f>
        <v>200.25</v>
      </c>
    </row>
    <row r="225" customFormat="false" ht="15" hidden="false" customHeight="false" outlineLevel="0" collapsed="false">
      <c r="A225" s="15" t="n">
        <v>45901</v>
      </c>
      <c r="B225" s="16" t="str">
        <f aca="false">TEXT(A225,"ddd")</f>
        <v>Mon</v>
      </c>
      <c r="C225" s="16" t="str">
        <f aca="false">TEXT(A225,"mmm")</f>
        <v>Sep</v>
      </c>
      <c r="D225" s="16" t="s">
        <v>28</v>
      </c>
      <c r="E225" s="16" t="str">
        <f aca="false">INDEX(Products!$B$2:$B$9,MATCH(D225,Products!$A$2:$A$9,0))</f>
        <v>Hot Espresso</v>
      </c>
      <c r="F225" s="17" t="n">
        <f aca="false">INDEX(Products!$C$2:$C$9,MATCH(D225,Products!$A$2:$A$9,0))</f>
        <v>4.95</v>
      </c>
      <c r="G225" s="18" t="n">
        <v>60</v>
      </c>
      <c r="H225" s="17" t="n">
        <f aca="false">F225*G225</f>
        <v>297</v>
      </c>
    </row>
    <row r="226" customFormat="false" ht="15" hidden="false" customHeight="false" outlineLevel="0" collapsed="false">
      <c r="A226" s="15" t="n">
        <v>45901</v>
      </c>
      <c r="B226" s="16" t="str">
        <f aca="false">TEXT(A226,"ddd")</f>
        <v>Mon</v>
      </c>
      <c r="C226" s="16" t="str">
        <f aca="false">TEXT(A226,"mmm")</f>
        <v>Sep</v>
      </c>
      <c r="D226" s="16" t="s">
        <v>30</v>
      </c>
      <c r="E226" s="16" t="str">
        <f aca="false">INDEX(Products!$B$2:$B$9,MATCH(D226,Products!$A$2:$A$9,0))</f>
        <v>Hot Espresso</v>
      </c>
      <c r="F226" s="17" t="n">
        <f aca="false">INDEX(Products!$C$2:$C$9,MATCH(D226,Products!$A$2:$A$9,0))</f>
        <v>4.75</v>
      </c>
      <c r="G226" s="18" t="n">
        <v>53</v>
      </c>
      <c r="H226" s="17" t="n">
        <f aca="false">F226*G226</f>
        <v>251.75</v>
      </c>
    </row>
    <row r="227" customFormat="false" ht="15" hidden="false" customHeight="false" outlineLevel="0" collapsed="false">
      <c r="A227" s="15" t="n">
        <v>45901</v>
      </c>
      <c r="B227" s="16" t="str">
        <f aca="false">TEXT(A227,"ddd")</f>
        <v>Mon</v>
      </c>
      <c r="C227" s="16" t="str">
        <f aca="false">TEXT(A227,"mmm")</f>
        <v>Sep</v>
      </c>
      <c r="D227" s="16" t="s">
        <v>31</v>
      </c>
      <c r="E227" s="16" t="str">
        <f aca="false">INDEX(Products!$B$2:$B$9,MATCH(D227,Products!$A$2:$A$9,0))</f>
        <v>Hot Espresso</v>
      </c>
      <c r="F227" s="17" t="n">
        <f aca="false">INDEX(Products!$C$2:$C$9,MATCH(D227,Products!$A$2:$A$9,0))</f>
        <v>5.45</v>
      </c>
      <c r="G227" s="18" t="n">
        <v>43</v>
      </c>
      <c r="H227" s="17" t="n">
        <f aca="false">F227*G227</f>
        <v>234.35</v>
      </c>
    </row>
    <row r="228" customFormat="false" ht="15" hidden="false" customHeight="false" outlineLevel="0" collapsed="false">
      <c r="A228" s="15" t="n">
        <v>45901</v>
      </c>
      <c r="B228" s="16" t="str">
        <f aca="false">TEXT(A228,"ddd")</f>
        <v>Mon</v>
      </c>
      <c r="C228" s="16" t="str">
        <f aca="false">TEXT(A228,"mmm")</f>
        <v>Sep</v>
      </c>
      <c r="D228" s="16" t="s">
        <v>32</v>
      </c>
      <c r="E228" s="16" t="str">
        <f aca="false">INDEX(Products!$B$2:$B$9,MATCH(D228,Products!$A$2:$A$9,0))</f>
        <v>Hot Espresso</v>
      </c>
      <c r="F228" s="17" t="n">
        <f aca="false">INDEX(Products!$C$2:$C$9,MATCH(D228,Products!$A$2:$A$9,0))</f>
        <v>3.75</v>
      </c>
      <c r="G228" s="18" t="n">
        <v>25</v>
      </c>
      <c r="H228" s="17" t="n">
        <f aca="false">F228*G228</f>
        <v>93.75</v>
      </c>
    </row>
    <row r="229" customFormat="false" ht="15" hidden="false" customHeight="false" outlineLevel="0" collapsed="false">
      <c r="A229" s="15" t="n">
        <v>45901</v>
      </c>
      <c r="B229" s="16" t="str">
        <f aca="false">TEXT(A229,"ddd")</f>
        <v>Mon</v>
      </c>
      <c r="C229" s="16" t="str">
        <f aca="false">TEXT(A229,"mmm")</f>
        <v>Sep</v>
      </c>
      <c r="D229" s="16" t="s">
        <v>33</v>
      </c>
      <c r="E229" s="16" t="str">
        <f aca="false">INDEX(Products!$B$2:$B$9,MATCH(D229,Products!$A$2:$A$9,0))</f>
        <v>Hot Espresso</v>
      </c>
      <c r="F229" s="17" t="n">
        <f aca="false">INDEX(Products!$C$2:$C$9,MATCH(D229,Products!$A$2:$A$9,0))</f>
        <v>5.25</v>
      </c>
      <c r="G229" s="18" t="n">
        <v>33</v>
      </c>
      <c r="H229" s="17" t="n">
        <f aca="false">F229*G229</f>
        <v>173.25</v>
      </c>
    </row>
    <row r="230" customFormat="false" ht="15" hidden="false" customHeight="false" outlineLevel="0" collapsed="false">
      <c r="A230" s="15" t="n">
        <v>45901</v>
      </c>
      <c r="B230" s="16" t="str">
        <f aca="false">TEXT(A230,"ddd")</f>
        <v>Mon</v>
      </c>
      <c r="C230" s="16" t="str">
        <f aca="false">TEXT(A230,"mmm")</f>
        <v>Sep</v>
      </c>
      <c r="D230" s="16" t="s">
        <v>34</v>
      </c>
      <c r="E230" s="16" t="str">
        <f aca="false">INDEX(Products!$B$2:$B$9,MATCH(D230,Products!$A$2:$A$9,0))</f>
        <v>Seasonal</v>
      </c>
      <c r="F230" s="17" t="n">
        <f aca="false">INDEX(Products!$C$2:$C$9,MATCH(D230,Products!$A$2:$A$9,0))</f>
        <v>5.75</v>
      </c>
      <c r="G230" s="18" t="n">
        <v>47</v>
      </c>
      <c r="H230" s="17" t="n">
        <f aca="false">F230*G230</f>
        <v>270.25</v>
      </c>
    </row>
    <row r="231" customFormat="false" ht="15" hidden="false" customHeight="false" outlineLevel="0" collapsed="false">
      <c r="A231" s="15" t="n">
        <v>45901</v>
      </c>
      <c r="B231" s="16" t="str">
        <f aca="false">TEXT(A231,"ddd")</f>
        <v>Mon</v>
      </c>
      <c r="C231" s="16" t="str">
        <f aca="false">TEXT(A231,"mmm")</f>
        <v>Sep</v>
      </c>
      <c r="D231" s="16" t="s">
        <v>36</v>
      </c>
      <c r="E231" s="16" t="str">
        <f aca="false">INDEX(Products!$B$2:$B$9,MATCH(D231,Products!$A$2:$A$9,0))</f>
        <v>Cold Drinks</v>
      </c>
      <c r="F231" s="17" t="n">
        <f aca="false">INDEX(Products!$C$2:$C$9,MATCH(D231,Products!$A$2:$A$9,0))</f>
        <v>3.95</v>
      </c>
      <c r="G231" s="18" t="n">
        <v>72</v>
      </c>
      <c r="H231" s="17" t="n">
        <f aca="false">F231*G231</f>
        <v>284.4</v>
      </c>
    </row>
    <row r="232" customFormat="false" ht="15" hidden="false" customHeight="false" outlineLevel="0" collapsed="false">
      <c r="A232" s="15" t="n">
        <v>45901</v>
      </c>
      <c r="B232" s="16" t="str">
        <f aca="false">TEXT(A232,"ddd")</f>
        <v>Mon</v>
      </c>
      <c r="C232" s="16" t="str">
        <f aca="false">TEXT(A232,"mmm")</f>
        <v>Sep</v>
      </c>
      <c r="D232" s="16" t="s">
        <v>38</v>
      </c>
      <c r="E232" s="16" t="str">
        <f aca="false">INDEX(Products!$B$2:$B$9,MATCH(D232,Products!$A$2:$A$9,0))</f>
        <v>Cold Drinks</v>
      </c>
      <c r="F232" s="17" t="n">
        <f aca="false">INDEX(Products!$C$2:$C$9,MATCH(D232,Products!$A$2:$A$9,0))</f>
        <v>4.45</v>
      </c>
      <c r="G232" s="18" t="n">
        <v>49</v>
      </c>
      <c r="H232" s="17" t="n">
        <f aca="false">F232*G232</f>
        <v>218.05</v>
      </c>
    </row>
    <row r="233" customFormat="false" ht="15" hidden="false" customHeight="false" outlineLevel="0" collapsed="false">
      <c r="A233" s="15" t="n">
        <v>45902</v>
      </c>
      <c r="B233" s="16" t="str">
        <f aca="false">TEXT(A233,"ddd")</f>
        <v>Tue</v>
      </c>
      <c r="C233" s="16" t="str">
        <f aca="false">TEXT(A233,"mmm")</f>
        <v>Sep</v>
      </c>
      <c r="D233" s="16" t="s">
        <v>28</v>
      </c>
      <c r="E233" s="16" t="str">
        <f aca="false">INDEX(Products!$B$2:$B$9,MATCH(D233,Products!$A$2:$A$9,0))</f>
        <v>Hot Espresso</v>
      </c>
      <c r="F233" s="17" t="n">
        <f aca="false">INDEX(Products!$C$2:$C$9,MATCH(D233,Products!$A$2:$A$9,0))</f>
        <v>4.95</v>
      </c>
      <c r="G233" s="18" t="n">
        <v>64</v>
      </c>
      <c r="H233" s="17" t="n">
        <f aca="false">F233*G233</f>
        <v>316.8</v>
      </c>
    </row>
    <row r="234" customFormat="false" ht="15" hidden="false" customHeight="false" outlineLevel="0" collapsed="false">
      <c r="A234" s="15" t="n">
        <v>45902</v>
      </c>
      <c r="B234" s="16" t="str">
        <f aca="false">TEXT(A234,"ddd")</f>
        <v>Tue</v>
      </c>
      <c r="C234" s="16" t="str">
        <f aca="false">TEXT(A234,"mmm")</f>
        <v>Sep</v>
      </c>
      <c r="D234" s="16" t="s">
        <v>30</v>
      </c>
      <c r="E234" s="16" t="str">
        <f aca="false">INDEX(Products!$B$2:$B$9,MATCH(D234,Products!$A$2:$A$9,0))</f>
        <v>Hot Espresso</v>
      </c>
      <c r="F234" s="17" t="n">
        <f aca="false">INDEX(Products!$C$2:$C$9,MATCH(D234,Products!$A$2:$A$9,0))</f>
        <v>4.75</v>
      </c>
      <c r="G234" s="18" t="n">
        <v>43</v>
      </c>
      <c r="H234" s="17" t="n">
        <f aca="false">F234*G234</f>
        <v>204.25</v>
      </c>
    </row>
    <row r="235" customFormat="false" ht="15" hidden="false" customHeight="false" outlineLevel="0" collapsed="false">
      <c r="A235" s="15" t="n">
        <v>45902</v>
      </c>
      <c r="B235" s="16" t="str">
        <f aca="false">TEXT(A235,"ddd")</f>
        <v>Tue</v>
      </c>
      <c r="C235" s="16" t="str">
        <f aca="false">TEXT(A235,"mmm")</f>
        <v>Sep</v>
      </c>
      <c r="D235" s="16" t="s">
        <v>31</v>
      </c>
      <c r="E235" s="16" t="str">
        <f aca="false">INDEX(Products!$B$2:$B$9,MATCH(D235,Products!$A$2:$A$9,0))</f>
        <v>Hot Espresso</v>
      </c>
      <c r="F235" s="17" t="n">
        <f aca="false">INDEX(Products!$C$2:$C$9,MATCH(D235,Products!$A$2:$A$9,0))</f>
        <v>5.45</v>
      </c>
      <c r="G235" s="18" t="n">
        <v>38</v>
      </c>
      <c r="H235" s="17" t="n">
        <f aca="false">F235*G235</f>
        <v>207.1</v>
      </c>
    </row>
    <row r="236" customFormat="false" ht="15" hidden="false" customHeight="false" outlineLevel="0" collapsed="false">
      <c r="A236" s="15" t="n">
        <v>45902</v>
      </c>
      <c r="B236" s="16" t="str">
        <f aca="false">TEXT(A236,"ddd")</f>
        <v>Tue</v>
      </c>
      <c r="C236" s="16" t="str">
        <f aca="false">TEXT(A236,"mmm")</f>
        <v>Sep</v>
      </c>
      <c r="D236" s="16" t="s">
        <v>32</v>
      </c>
      <c r="E236" s="16" t="str">
        <f aca="false">INDEX(Products!$B$2:$B$9,MATCH(D236,Products!$A$2:$A$9,0))</f>
        <v>Hot Espresso</v>
      </c>
      <c r="F236" s="17" t="n">
        <f aca="false">INDEX(Products!$C$2:$C$9,MATCH(D236,Products!$A$2:$A$9,0))</f>
        <v>3.75</v>
      </c>
      <c r="G236" s="18" t="n">
        <v>30</v>
      </c>
      <c r="H236" s="17" t="n">
        <f aca="false">F236*G236</f>
        <v>112.5</v>
      </c>
    </row>
    <row r="237" customFormat="false" ht="15" hidden="false" customHeight="false" outlineLevel="0" collapsed="false">
      <c r="A237" s="15" t="n">
        <v>45902</v>
      </c>
      <c r="B237" s="16" t="str">
        <f aca="false">TEXT(A237,"ddd")</f>
        <v>Tue</v>
      </c>
      <c r="C237" s="16" t="str">
        <f aca="false">TEXT(A237,"mmm")</f>
        <v>Sep</v>
      </c>
      <c r="D237" s="16" t="s">
        <v>33</v>
      </c>
      <c r="E237" s="16" t="str">
        <f aca="false">INDEX(Products!$B$2:$B$9,MATCH(D237,Products!$A$2:$A$9,0))</f>
        <v>Hot Espresso</v>
      </c>
      <c r="F237" s="17" t="n">
        <f aca="false">INDEX(Products!$C$2:$C$9,MATCH(D237,Products!$A$2:$A$9,0))</f>
        <v>5.25</v>
      </c>
      <c r="G237" s="18" t="n">
        <v>35</v>
      </c>
      <c r="H237" s="17" t="n">
        <f aca="false">F237*G237</f>
        <v>183.75</v>
      </c>
    </row>
    <row r="238" customFormat="false" ht="15" hidden="false" customHeight="false" outlineLevel="0" collapsed="false">
      <c r="A238" s="15" t="n">
        <v>45902</v>
      </c>
      <c r="B238" s="16" t="str">
        <f aca="false">TEXT(A238,"ddd")</f>
        <v>Tue</v>
      </c>
      <c r="C238" s="16" t="str">
        <f aca="false">TEXT(A238,"mmm")</f>
        <v>Sep</v>
      </c>
      <c r="D238" s="16" t="s">
        <v>34</v>
      </c>
      <c r="E238" s="16" t="str">
        <f aca="false">INDEX(Products!$B$2:$B$9,MATCH(D238,Products!$A$2:$A$9,0))</f>
        <v>Seasonal</v>
      </c>
      <c r="F238" s="17" t="n">
        <f aca="false">INDEX(Products!$C$2:$C$9,MATCH(D238,Products!$A$2:$A$9,0))</f>
        <v>5.75</v>
      </c>
      <c r="G238" s="18" t="n">
        <v>52</v>
      </c>
      <c r="H238" s="17" t="n">
        <f aca="false">F238*G238</f>
        <v>299</v>
      </c>
    </row>
    <row r="239" customFormat="false" ht="15" hidden="false" customHeight="false" outlineLevel="0" collapsed="false">
      <c r="A239" s="15" t="n">
        <v>45902</v>
      </c>
      <c r="B239" s="16" t="str">
        <f aca="false">TEXT(A239,"ddd")</f>
        <v>Tue</v>
      </c>
      <c r="C239" s="16" t="str">
        <f aca="false">TEXT(A239,"mmm")</f>
        <v>Sep</v>
      </c>
      <c r="D239" s="16" t="s">
        <v>36</v>
      </c>
      <c r="E239" s="16" t="str">
        <f aca="false">INDEX(Products!$B$2:$B$9,MATCH(D239,Products!$A$2:$A$9,0))</f>
        <v>Cold Drinks</v>
      </c>
      <c r="F239" s="17" t="n">
        <f aca="false">INDEX(Products!$C$2:$C$9,MATCH(D239,Products!$A$2:$A$9,0))</f>
        <v>3.95</v>
      </c>
      <c r="G239" s="18" t="n">
        <v>59</v>
      </c>
      <c r="H239" s="17" t="n">
        <f aca="false">F239*G239</f>
        <v>233.05</v>
      </c>
    </row>
    <row r="240" customFormat="false" ht="15" hidden="false" customHeight="false" outlineLevel="0" collapsed="false">
      <c r="A240" s="15" t="n">
        <v>45902</v>
      </c>
      <c r="B240" s="16" t="str">
        <f aca="false">TEXT(A240,"ddd")</f>
        <v>Tue</v>
      </c>
      <c r="C240" s="16" t="str">
        <f aca="false">TEXT(A240,"mmm")</f>
        <v>Sep</v>
      </c>
      <c r="D240" s="16" t="s">
        <v>38</v>
      </c>
      <c r="E240" s="16" t="str">
        <f aca="false">INDEX(Products!$B$2:$B$9,MATCH(D240,Products!$A$2:$A$9,0))</f>
        <v>Cold Drinks</v>
      </c>
      <c r="F240" s="17" t="n">
        <f aca="false">INDEX(Products!$C$2:$C$9,MATCH(D240,Products!$A$2:$A$9,0))</f>
        <v>4.45</v>
      </c>
      <c r="G240" s="18" t="n">
        <v>42</v>
      </c>
      <c r="H240" s="17" t="n">
        <f aca="false">F240*G240</f>
        <v>186.9</v>
      </c>
    </row>
    <row r="241" customFormat="false" ht="15" hidden="false" customHeight="false" outlineLevel="0" collapsed="false">
      <c r="A241" s="15" t="n">
        <v>45903</v>
      </c>
      <c r="B241" s="16" t="str">
        <f aca="false">TEXT(A241,"ddd")</f>
        <v>Wed</v>
      </c>
      <c r="C241" s="16" t="str">
        <f aca="false">TEXT(A241,"mmm")</f>
        <v>Sep</v>
      </c>
      <c r="D241" s="16" t="s">
        <v>28</v>
      </c>
      <c r="E241" s="16" t="str">
        <f aca="false">INDEX(Products!$B$2:$B$9,MATCH(D241,Products!$A$2:$A$9,0))</f>
        <v>Hot Espresso</v>
      </c>
      <c r="F241" s="17" t="n">
        <f aca="false">INDEX(Products!$C$2:$C$9,MATCH(D241,Products!$A$2:$A$9,0))</f>
        <v>4.95</v>
      </c>
      <c r="G241" s="18" t="n">
        <v>59</v>
      </c>
      <c r="H241" s="17" t="n">
        <f aca="false">F241*G241</f>
        <v>292.05</v>
      </c>
    </row>
    <row r="242" customFormat="false" ht="15" hidden="false" customHeight="false" outlineLevel="0" collapsed="false">
      <c r="A242" s="15" t="n">
        <v>45903</v>
      </c>
      <c r="B242" s="16" t="str">
        <f aca="false">TEXT(A242,"ddd")</f>
        <v>Wed</v>
      </c>
      <c r="C242" s="16" t="str">
        <f aca="false">TEXT(A242,"mmm")</f>
        <v>Sep</v>
      </c>
      <c r="D242" s="16" t="s">
        <v>30</v>
      </c>
      <c r="E242" s="16" t="str">
        <f aca="false">INDEX(Products!$B$2:$B$9,MATCH(D242,Products!$A$2:$A$9,0))</f>
        <v>Hot Espresso</v>
      </c>
      <c r="F242" s="17" t="n">
        <f aca="false">INDEX(Products!$C$2:$C$9,MATCH(D242,Products!$A$2:$A$9,0))</f>
        <v>4.75</v>
      </c>
      <c r="G242" s="18" t="n">
        <v>44</v>
      </c>
      <c r="H242" s="17" t="n">
        <f aca="false">F242*G242</f>
        <v>209</v>
      </c>
    </row>
    <row r="243" customFormat="false" ht="15" hidden="false" customHeight="false" outlineLevel="0" collapsed="false">
      <c r="A243" s="15" t="n">
        <v>45903</v>
      </c>
      <c r="B243" s="16" t="str">
        <f aca="false">TEXT(A243,"ddd")</f>
        <v>Wed</v>
      </c>
      <c r="C243" s="16" t="str">
        <f aca="false">TEXT(A243,"mmm")</f>
        <v>Sep</v>
      </c>
      <c r="D243" s="16" t="s">
        <v>31</v>
      </c>
      <c r="E243" s="16" t="str">
        <f aca="false">INDEX(Products!$B$2:$B$9,MATCH(D243,Products!$A$2:$A$9,0))</f>
        <v>Hot Espresso</v>
      </c>
      <c r="F243" s="17" t="n">
        <f aca="false">INDEX(Products!$C$2:$C$9,MATCH(D243,Products!$A$2:$A$9,0))</f>
        <v>5.45</v>
      </c>
      <c r="G243" s="18" t="n">
        <v>43</v>
      </c>
      <c r="H243" s="17" t="n">
        <f aca="false">F243*G243</f>
        <v>234.35</v>
      </c>
    </row>
    <row r="244" customFormat="false" ht="15" hidden="false" customHeight="false" outlineLevel="0" collapsed="false">
      <c r="A244" s="15" t="n">
        <v>45903</v>
      </c>
      <c r="B244" s="16" t="str">
        <f aca="false">TEXT(A244,"ddd")</f>
        <v>Wed</v>
      </c>
      <c r="C244" s="16" t="str">
        <f aca="false">TEXT(A244,"mmm")</f>
        <v>Sep</v>
      </c>
      <c r="D244" s="16" t="s">
        <v>32</v>
      </c>
      <c r="E244" s="16" t="str">
        <f aca="false">INDEX(Products!$B$2:$B$9,MATCH(D244,Products!$A$2:$A$9,0))</f>
        <v>Hot Espresso</v>
      </c>
      <c r="F244" s="17" t="n">
        <f aca="false">INDEX(Products!$C$2:$C$9,MATCH(D244,Products!$A$2:$A$9,0))</f>
        <v>3.75</v>
      </c>
      <c r="G244" s="18" t="n">
        <v>24</v>
      </c>
      <c r="H244" s="17" t="n">
        <f aca="false">F244*G244</f>
        <v>90</v>
      </c>
    </row>
    <row r="245" customFormat="false" ht="15" hidden="false" customHeight="false" outlineLevel="0" collapsed="false">
      <c r="A245" s="15" t="n">
        <v>45903</v>
      </c>
      <c r="B245" s="16" t="str">
        <f aca="false">TEXT(A245,"ddd")</f>
        <v>Wed</v>
      </c>
      <c r="C245" s="16" t="str">
        <f aca="false">TEXT(A245,"mmm")</f>
        <v>Sep</v>
      </c>
      <c r="D245" s="16" t="s">
        <v>33</v>
      </c>
      <c r="E245" s="16" t="str">
        <f aca="false">INDEX(Products!$B$2:$B$9,MATCH(D245,Products!$A$2:$A$9,0))</f>
        <v>Hot Espresso</v>
      </c>
      <c r="F245" s="17" t="n">
        <f aca="false">INDEX(Products!$C$2:$C$9,MATCH(D245,Products!$A$2:$A$9,0))</f>
        <v>5.25</v>
      </c>
      <c r="G245" s="18" t="n">
        <v>32</v>
      </c>
      <c r="H245" s="17" t="n">
        <f aca="false">F245*G245</f>
        <v>168</v>
      </c>
    </row>
    <row r="246" customFormat="false" ht="15" hidden="false" customHeight="false" outlineLevel="0" collapsed="false">
      <c r="A246" s="15" t="n">
        <v>45903</v>
      </c>
      <c r="B246" s="16" t="str">
        <f aca="false">TEXT(A246,"ddd")</f>
        <v>Wed</v>
      </c>
      <c r="C246" s="16" t="str">
        <f aca="false">TEXT(A246,"mmm")</f>
        <v>Sep</v>
      </c>
      <c r="D246" s="16" t="s">
        <v>34</v>
      </c>
      <c r="E246" s="16" t="str">
        <f aca="false">INDEX(Products!$B$2:$B$9,MATCH(D246,Products!$A$2:$A$9,0))</f>
        <v>Seasonal</v>
      </c>
      <c r="F246" s="17" t="n">
        <f aca="false">INDEX(Products!$C$2:$C$9,MATCH(D246,Products!$A$2:$A$9,0))</f>
        <v>5.75</v>
      </c>
      <c r="G246" s="18" t="n">
        <v>59</v>
      </c>
      <c r="H246" s="17" t="n">
        <f aca="false">F246*G246</f>
        <v>339.25</v>
      </c>
    </row>
    <row r="247" customFormat="false" ht="15" hidden="false" customHeight="false" outlineLevel="0" collapsed="false">
      <c r="A247" s="15" t="n">
        <v>45903</v>
      </c>
      <c r="B247" s="16" t="str">
        <f aca="false">TEXT(A247,"ddd")</f>
        <v>Wed</v>
      </c>
      <c r="C247" s="16" t="str">
        <f aca="false">TEXT(A247,"mmm")</f>
        <v>Sep</v>
      </c>
      <c r="D247" s="16" t="s">
        <v>36</v>
      </c>
      <c r="E247" s="16" t="str">
        <f aca="false">INDEX(Products!$B$2:$B$9,MATCH(D247,Products!$A$2:$A$9,0))</f>
        <v>Cold Drinks</v>
      </c>
      <c r="F247" s="17" t="n">
        <f aca="false">INDEX(Products!$C$2:$C$9,MATCH(D247,Products!$A$2:$A$9,0))</f>
        <v>3.95</v>
      </c>
      <c r="G247" s="18" t="n">
        <v>68</v>
      </c>
      <c r="H247" s="17" t="n">
        <f aca="false">F247*G247</f>
        <v>268.6</v>
      </c>
    </row>
    <row r="248" customFormat="false" ht="15" hidden="false" customHeight="false" outlineLevel="0" collapsed="false">
      <c r="A248" s="15" t="n">
        <v>45903</v>
      </c>
      <c r="B248" s="16" t="str">
        <f aca="false">TEXT(A248,"ddd")</f>
        <v>Wed</v>
      </c>
      <c r="C248" s="16" t="str">
        <f aca="false">TEXT(A248,"mmm")</f>
        <v>Sep</v>
      </c>
      <c r="D248" s="16" t="s">
        <v>38</v>
      </c>
      <c r="E248" s="16" t="str">
        <f aca="false">INDEX(Products!$B$2:$B$9,MATCH(D248,Products!$A$2:$A$9,0))</f>
        <v>Cold Drinks</v>
      </c>
      <c r="F248" s="17" t="n">
        <f aca="false">INDEX(Products!$C$2:$C$9,MATCH(D248,Products!$A$2:$A$9,0))</f>
        <v>4.45</v>
      </c>
      <c r="G248" s="18" t="n">
        <v>46</v>
      </c>
      <c r="H248" s="17" t="n">
        <f aca="false">F248*G248</f>
        <v>204.7</v>
      </c>
    </row>
    <row r="249" customFormat="false" ht="15" hidden="false" customHeight="false" outlineLevel="0" collapsed="false">
      <c r="A249" s="15" t="n">
        <v>45904</v>
      </c>
      <c r="B249" s="16" t="str">
        <f aca="false">TEXT(A249,"ddd")</f>
        <v>Thu</v>
      </c>
      <c r="C249" s="16" t="str">
        <f aca="false">TEXT(A249,"mmm")</f>
        <v>Sep</v>
      </c>
      <c r="D249" s="16" t="s">
        <v>28</v>
      </c>
      <c r="E249" s="16" t="str">
        <f aca="false">INDEX(Products!$B$2:$B$9,MATCH(D249,Products!$A$2:$A$9,0))</f>
        <v>Hot Espresso</v>
      </c>
      <c r="F249" s="17" t="n">
        <f aca="false">INDEX(Products!$C$2:$C$9,MATCH(D249,Products!$A$2:$A$9,0))</f>
        <v>4.95</v>
      </c>
      <c r="G249" s="18" t="n">
        <v>68</v>
      </c>
      <c r="H249" s="17" t="n">
        <f aca="false">F249*G249</f>
        <v>336.6</v>
      </c>
    </row>
    <row r="250" customFormat="false" ht="15" hidden="false" customHeight="false" outlineLevel="0" collapsed="false">
      <c r="A250" s="15" t="n">
        <v>45904</v>
      </c>
      <c r="B250" s="16" t="str">
        <f aca="false">TEXT(A250,"ddd")</f>
        <v>Thu</v>
      </c>
      <c r="C250" s="16" t="str">
        <f aca="false">TEXT(A250,"mmm")</f>
        <v>Sep</v>
      </c>
      <c r="D250" s="16" t="s">
        <v>30</v>
      </c>
      <c r="E250" s="16" t="str">
        <f aca="false">INDEX(Products!$B$2:$B$9,MATCH(D250,Products!$A$2:$A$9,0))</f>
        <v>Hot Espresso</v>
      </c>
      <c r="F250" s="17" t="n">
        <f aca="false">INDEX(Products!$C$2:$C$9,MATCH(D250,Products!$A$2:$A$9,0))</f>
        <v>4.75</v>
      </c>
      <c r="G250" s="18" t="n">
        <v>46</v>
      </c>
      <c r="H250" s="17" t="n">
        <f aca="false">F250*G250</f>
        <v>218.5</v>
      </c>
    </row>
    <row r="251" customFormat="false" ht="15" hidden="false" customHeight="false" outlineLevel="0" collapsed="false">
      <c r="A251" s="15" t="n">
        <v>45904</v>
      </c>
      <c r="B251" s="16" t="str">
        <f aca="false">TEXT(A251,"ddd")</f>
        <v>Thu</v>
      </c>
      <c r="C251" s="16" t="str">
        <f aca="false">TEXT(A251,"mmm")</f>
        <v>Sep</v>
      </c>
      <c r="D251" s="16" t="s">
        <v>31</v>
      </c>
      <c r="E251" s="16" t="str">
        <f aca="false">INDEX(Products!$B$2:$B$9,MATCH(D251,Products!$A$2:$A$9,0))</f>
        <v>Hot Espresso</v>
      </c>
      <c r="F251" s="17" t="n">
        <f aca="false">INDEX(Products!$C$2:$C$9,MATCH(D251,Products!$A$2:$A$9,0))</f>
        <v>5.45</v>
      </c>
      <c r="G251" s="18" t="n">
        <v>39</v>
      </c>
      <c r="H251" s="17" t="n">
        <f aca="false">F251*G251</f>
        <v>212.55</v>
      </c>
    </row>
    <row r="252" customFormat="false" ht="15" hidden="false" customHeight="false" outlineLevel="0" collapsed="false">
      <c r="A252" s="15" t="n">
        <v>45904</v>
      </c>
      <c r="B252" s="16" t="str">
        <f aca="false">TEXT(A252,"ddd")</f>
        <v>Thu</v>
      </c>
      <c r="C252" s="16" t="str">
        <f aca="false">TEXT(A252,"mmm")</f>
        <v>Sep</v>
      </c>
      <c r="D252" s="16" t="s">
        <v>32</v>
      </c>
      <c r="E252" s="16" t="str">
        <f aca="false">INDEX(Products!$B$2:$B$9,MATCH(D252,Products!$A$2:$A$9,0))</f>
        <v>Hot Espresso</v>
      </c>
      <c r="F252" s="17" t="n">
        <f aca="false">INDEX(Products!$C$2:$C$9,MATCH(D252,Products!$A$2:$A$9,0))</f>
        <v>3.75</v>
      </c>
      <c r="G252" s="18" t="n">
        <v>28</v>
      </c>
      <c r="H252" s="17" t="n">
        <f aca="false">F252*G252</f>
        <v>105</v>
      </c>
    </row>
    <row r="253" customFormat="false" ht="15" hidden="false" customHeight="false" outlineLevel="0" collapsed="false">
      <c r="A253" s="15" t="n">
        <v>45904</v>
      </c>
      <c r="B253" s="16" t="str">
        <f aca="false">TEXT(A253,"ddd")</f>
        <v>Thu</v>
      </c>
      <c r="C253" s="16" t="str">
        <f aca="false">TEXT(A253,"mmm")</f>
        <v>Sep</v>
      </c>
      <c r="D253" s="16" t="s">
        <v>33</v>
      </c>
      <c r="E253" s="16" t="str">
        <f aca="false">INDEX(Products!$B$2:$B$9,MATCH(D253,Products!$A$2:$A$9,0))</f>
        <v>Hot Espresso</v>
      </c>
      <c r="F253" s="17" t="n">
        <f aca="false">INDEX(Products!$C$2:$C$9,MATCH(D253,Products!$A$2:$A$9,0))</f>
        <v>5.25</v>
      </c>
      <c r="G253" s="18" t="n">
        <v>37</v>
      </c>
      <c r="H253" s="17" t="n">
        <f aca="false">F253*G253</f>
        <v>194.25</v>
      </c>
    </row>
    <row r="254" customFormat="false" ht="15" hidden="false" customHeight="false" outlineLevel="0" collapsed="false">
      <c r="A254" s="15" t="n">
        <v>45904</v>
      </c>
      <c r="B254" s="16" t="str">
        <f aca="false">TEXT(A254,"ddd")</f>
        <v>Thu</v>
      </c>
      <c r="C254" s="16" t="str">
        <f aca="false">TEXT(A254,"mmm")</f>
        <v>Sep</v>
      </c>
      <c r="D254" s="16" t="s">
        <v>34</v>
      </c>
      <c r="E254" s="16" t="str">
        <f aca="false">INDEX(Products!$B$2:$B$9,MATCH(D254,Products!$A$2:$A$9,0))</f>
        <v>Seasonal</v>
      </c>
      <c r="F254" s="17" t="n">
        <f aca="false">INDEX(Products!$C$2:$C$9,MATCH(D254,Products!$A$2:$A$9,0))</f>
        <v>5.75</v>
      </c>
      <c r="G254" s="18" t="n">
        <v>69</v>
      </c>
      <c r="H254" s="17" t="n">
        <f aca="false">F254*G254</f>
        <v>396.75</v>
      </c>
    </row>
    <row r="255" customFormat="false" ht="15" hidden="false" customHeight="false" outlineLevel="0" collapsed="false">
      <c r="A255" s="15" t="n">
        <v>45904</v>
      </c>
      <c r="B255" s="16" t="str">
        <f aca="false">TEXT(A255,"ddd")</f>
        <v>Thu</v>
      </c>
      <c r="C255" s="16" t="str">
        <f aca="false">TEXT(A255,"mmm")</f>
        <v>Sep</v>
      </c>
      <c r="D255" s="16" t="s">
        <v>36</v>
      </c>
      <c r="E255" s="16" t="str">
        <f aca="false">INDEX(Products!$B$2:$B$9,MATCH(D255,Products!$A$2:$A$9,0))</f>
        <v>Cold Drinks</v>
      </c>
      <c r="F255" s="17" t="n">
        <f aca="false">INDEX(Products!$C$2:$C$9,MATCH(D255,Products!$A$2:$A$9,0))</f>
        <v>3.95</v>
      </c>
      <c r="G255" s="18" t="n">
        <v>63</v>
      </c>
      <c r="H255" s="17" t="n">
        <f aca="false">F255*G255</f>
        <v>248.85</v>
      </c>
    </row>
    <row r="256" customFormat="false" ht="15" hidden="false" customHeight="false" outlineLevel="0" collapsed="false">
      <c r="A256" s="15" t="n">
        <v>45904</v>
      </c>
      <c r="B256" s="16" t="str">
        <f aca="false">TEXT(A256,"ddd")</f>
        <v>Thu</v>
      </c>
      <c r="C256" s="16" t="str">
        <f aca="false">TEXT(A256,"mmm")</f>
        <v>Sep</v>
      </c>
      <c r="D256" s="16" t="s">
        <v>38</v>
      </c>
      <c r="E256" s="16" t="str">
        <f aca="false">INDEX(Products!$B$2:$B$9,MATCH(D256,Products!$A$2:$A$9,0))</f>
        <v>Cold Drinks</v>
      </c>
      <c r="F256" s="17" t="n">
        <f aca="false">INDEX(Products!$C$2:$C$9,MATCH(D256,Products!$A$2:$A$9,0))</f>
        <v>4.45</v>
      </c>
      <c r="G256" s="18" t="n">
        <v>58</v>
      </c>
      <c r="H256" s="17" t="n">
        <f aca="false">F256*G256</f>
        <v>258.1</v>
      </c>
    </row>
    <row r="257" customFormat="false" ht="15" hidden="false" customHeight="false" outlineLevel="0" collapsed="false">
      <c r="A257" s="15" t="n">
        <v>45905</v>
      </c>
      <c r="B257" s="16" t="str">
        <f aca="false">TEXT(A257,"ddd")</f>
        <v>Fri</v>
      </c>
      <c r="C257" s="16" t="str">
        <f aca="false">TEXT(A257,"mmm")</f>
        <v>Sep</v>
      </c>
      <c r="D257" s="16" t="s">
        <v>28</v>
      </c>
      <c r="E257" s="16" t="str">
        <f aca="false">INDEX(Products!$B$2:$B$9,MATCH(D257,Products!$A$2:$A$9,0))</f>
        <v>Hot Espresso</v>
      </c>
      <c r="F257" s="17" t="n">
        <f aca="false">INDEX(Products!$C$2:$C$9,MATCH(D257,Products!$A$2:$A$9,0))</f>
        <v>4.95</v>
      </c>
      <c r="G257" s="18" t="n">
        <v>63</v>
      </c>
      <c r="H257" s="17" t="n">
        <f aca="false">F257*G257</f>
        <v>311.85</v>
      </c>
    </row>
    <row r="258" customFormat="false" ht="15" hidden="false" customHeight="false" outlineLevel="0" collapsed="false">
      <c r="A258" s="15" t="n">
        <v>45905</v>
      </c>
      <c r="B258" s="16" t="str">
        <f aca="false">TEXT(A258,"ddd")</f>
        <v>Fri</v>
      </c>
      <c r="C258" s="16" t="str">
        <f aca="false">TEXT(A258,"mmm")</f>
        <v>Sep</v>
      </c>
      <c r="D258" s="16" t="s">
        <v>30</v>
      </c>
      <c r="E258" s="16" t="str">
        <f aca="false">INDEX(Products!$B$2:$B$9,MATCH(D258,Products!$A$2:$A$9,0))</f>
        <v>Hot Espresso</v>
      </c>
      <c r="F258" s="17" t="n">
        <f aca="false">INDEX(Products!$C$2:$C$9,MATCH(D258,Products!$A$2:$A$9,0))</f>
        <v>4.75</v>
      </c>
      <c r="G258" s="18" t="n">
        <v>50</v>
      </c>
      <c r="H258" s="17" t="n">
        <f aca="false">F258*G258</f>
        <v>237.5</v>
      </c>
    </row>
    <row r="259" customFormat="false" ht="15" hidden="false" customHeight="false" outlineLevel="0" collapsed="false">
      <c r="A259" s="15" t="n">
        <v>45905</v>
      </c>
      <c r="B259" s="16" t="str">
        <f aca="false">TEXT(A259,"ddd")</f>
        <v>Fri</v>
      </c>
      <c r="C259" s="16" t="str">
        <f aca="false">TEXT(A259,"mmm")</f>
        <v>Sep</v>
      </c>
      <c r="D259" s="16" t="s">
        <v>31</v>
      </c>
      <c r="E259" s="16" t="str">
        <f aca="false">INDEX(Products!$B$2:$B$9,MATCH(D259,Products!$A$2:$A$9,0))</f>
        <v>Hot Espresso</v>
      </c>
      <c r="F259" s="17" t="n">
        <f aca="false">INDEX(Products!$C$2:$C$9,MATCH(D259,Products!$A$2:$A$9,0))</f>
        <v>5.45</v>
      </c>
      <c r="G259" s="18" t="n">
        <v>43</v>
      </c>
      <c r="H259" s="17" t="n">
        <f aca="false">F259*G259</f>
        <v>234.35</v>
      </c>
    </row>
    <row r="260" customFormat="false" ht="15" hidden="false" customHeight="false" outlineLevel="0" collapsed="false">
      <c r="A260" s="15" t="n">
        <v>45905</v>
      </c>
      <c r="B260" s="16" t="str">
        <f aca="false">TEXT(A260,"ddd")</f>
        <v>Fri</v>
      </c>
      <c r="C260" s="16" t="str">
        <f aca="false">TEXT(A260,"mmm")</f>
        <v>Sep</v>
      </c>
      <c r="D260" s="16" t="s">
        <v>32</v>
      </c>
      <c r="E260" s="16" t="str">
        <f aca="false">INDEX(Products!$B$2:$B$9,MATCH(D260,Products!$A$2:$A$9,0))</f>
        <v>Hot Espresso</v>
      </c>
      <c r="F260" s="17" t="n">
        <f aca="false">INDEX(Products!$C$2:$C$9,MATCH(D260,Products!$A$2:$A$9,0))</f>
        <v>3.75</v>
      </c>
      <c r="G260" s="18" t="n">
        <v>29</v>
      </c>
      <c r="H260" s="17" t="n">
        <f aca="false">F260*G260</f>
        <v>108.75</v>
      </c>
    </row>
    <row r="261" customFormat="false" ht="15" hidden="false" customHeight="false" outlineLevel="0" collapsed="false">
      <c r="A261" s="15" t="n">
        <v>45905</v>
      </c>
      <c r="B261" s="16" t="str">
        <f aca="false">TEXT(A261,"ddd")</f>
        <v>Fri</v>
      </c>
      <c r="C261" s="16" t="str">
        <f aca="false">TEXT(A261,"mmm")</f>
        <v>Sep</v>
      </c>
      <c r="D261" s="16" t="s">
        <v>33</v>
      </c>
      <c r="E261" s="16" t="str">
        <f aca="false">INDEX(Products!$B$2:$B$9,MATCH(D261,Products!$A$2:$A$9,0))</f>
        <v>Hot Espresso</v>
      </c>
      <c r="F261" s="17" t="n">
        <f aca="false">INDEX(Products!$C$2:$C$9,MATCH(D261,Products!$A$2:$A$9,0))</f>
        <v>5.25</v>
      </c>
      <c r="G261" s="18" t="n">
        <v>40</v>
      </c>
      <c r="H261" s="17" t="n">
        <f aca="false">F261*G261</f>
        <v>210</v>
      </c>
    </row>
    <row r="262" customFormat="false" ht="15" hidden="false" customHeight="false" outlineLevel="0" collapsed="false">
      <c r="A262" s="15" t="n">
        <v>45905</v>
      </c>
      <c r="B262" s="16" t="str">
        <f aca="false">TEXT(A262,"ddd")</f>
        <v>Fri</v>
      </c>
      <c r="C262" s="16" t="str">
        <f aca="false">TEXT(A262,"mmm")</f>
        <v>Sep</v>
      </c>
      <c r="D262" s="16" t="s">
        <v>34</v>
      </c>
      <c r="E262" s="16" t="str">
        <f aca="false">INDEX(Products!$B$2:$B$9,MATCH(D262,Products!$A$2:$A$9,0))</f>
        <v>Seasonal</v>
      </c>
      <c r="F262" s="17" t="n">
        <f aca="false">INDEX(Products!$C$2:$C$9,MATCH(D262,Products!$A$2:$A$9,0))</f>
        <v>5.75</v>
      </c>
      <c r="G262" s="18" t="n">
        <v>80</v>
      </c>
      <c r="H262" s="17" t="n">
        <f aca="false">F262*G262</f>
        <v>460</v>
      </c>
    </row>
    <row r="263" customFormat="false" ht="15" hidden="false" customHeight="false" outlineLevel="0" collapsed="false">
      <c r="A263" s="15" t="n">
        <v>45905</v>
      </c>
      <c r="B263" s="16" t="str">
        <f aca="false">TEXT(A263,"ddd")</f>
        <v>Fri</v>
      </c>
      <c r="C263" s="16" t="str">
        <f aca="false">TEXT(A263,"mmm")</f>
        <v>Sep</v>
      </c>
      <c r="D263" s="16" t="s">
        <v>36</v>
      </c>
      <c r="E263" s="16" t="str">
        <f aca="false">INDEX(Products!$B$2:$B$9,MATCH(D263,Products!$A$2:$A$9,0))</f>
        <v>Cold Drinks</v>
      </c>
      <c r="F263" s="17" t="n">
        <f aca="false">INDEX(Products!$C$2:$C$9,MATCH(D263,Products!$A$2:$A$9,0))</f>
        <v>3.95</v>
      </c>
      <c r="G263" s="18" t="n">
        <v>53</v>
      </c>
      <c r="H263" s="17" t="n">
        <f aca="false">F263*G263</f>
        <v>209.35</v>
      </c>
    </row>
    <row r="264" customFormat="false" ht="15" hidden="false" customHeight="false" outlineLevel="0" collapsed="false">
      <c r="A264" s="15" t="n">
        <v>45905</v>
      </c>
      <c r="B264" s="16" t="str">
        <f aca="false">TEXT(A264,"ddd")</f>
        <v>Fri</v>
      </c>
      <c r="C264" s="16" t="str">
        <f aca="false">TEXT(A264,"mmm")</f>
        <v>Sep</v>
      </c>
      <c r="D264" s="16" t="s">
        <v>38</v>
      </c>
      <c r="E264" s="16" t="str">
        <f aca="false">INDEX(Products!$B$2:$B$9,MATCH(D264,Products!$A$2:$A$9,0))</f>
        <v>Cold Drinks</v>
      </c>
      <c r="F264" s="17" t="n">
        <f aca="false">INDEX(Products!$C$2:$C$9,MATCH(D264,Products!$A$2:$A$9,0))</f>
        <v>4.45</v>
      </c>
      <c r="G264" s="18" t="n">
        <v>44</v>
      </c>
      <c r="H264" s="17" t="n">
        <f aca="false">F264*G264</f>
        <v>195.8</v>
      </c>
    </row>
    <row r="265" customFormat="false" ht="15" hidden="false" customHeight="false" outlineLevel="0" collapsed="false">
      <c r="A265" s="15" t="n">
        <v>45906</v>
      </c>
      <c r="B265" s="16" t="str">
        <f aca="false">TEXT(A265,"ddd")</f>
        <v>Sat</v>
      </c>
      <c r="C265" s="16" t="str">
        <f aca="false">TEXT(A265,"mmm")</f>
        <v>Sep</v>
      </c>
      <c r="D265" s="16" t="s">
        <v>28</v>
      </c>
      <c r="E265" s="16" t="str">
        <f aca="false">INDEX(Products!$B$2:$B$9,MATCH(D265,Products!$A$2:$A$9,0))</f>
        <v>Hot Espresso</v>
      </c>
      <c r="F265" s="17" t="n">
        <f aca="false">INDEX(Products!$C$2:$C$9,MATCH(D265,Products!$A$2:$A$9,0))</f>
        <v>4.95</v>
      </c>
      <c r="G265" s="18" t="n">
        <v>77</v>
      </c>
      <c r="H265" s="17" t="n">
        <f aca="false">F265*G265</f>
        <v>381.15</v>
      </c>
    </row>
    <row r="266" customFormat="false" ht="15" hidden="false" customHeight="false" outlineLevel="0" collapsed="false">
      <c r="A266" s="15" t="n">
        <v>45906</v>
      </c>
      <c r="B266" s="16" t="str">
        <f aca="false">TEXT(A266,"ddd")</f>
        <v>Sat</v>
      </c>
      <c r="C266" s="16" t="str">
        <f aca="false">TEXT(A266,"mmm")</f>
        <v>Sep</v>
      </c>
      <c r="D266" s="16" t="s">
        <v>30</v>
      </c>
      <c r="E266" s="16" t="str">
        <f aca="false">INDEX(Products!$B$2:$B$9,MATCH(D266,Products!$A$2:$A$9,0))</f>
        <v>Hot Espresso</v>
      </c>
      <c r="F266" s="17" t="n">
        <f aca="false">INDEX(Products!$C$2:$C$9,MATCH(D266,Products!$A$2:$A$9,0))</f>
        <v>4.75</v>
      </c>
      <c r="G266" s="18" t="n">
        <v>60</v>
      </c>
      <c r="H266" s="17" t="n">
        <f aca="false">F266*G266</f>
        <v>285</v>
      </c>
    </row>
    <row r="267" customFormat="false" ht="15" hidden="false" customHeight="false" outlineLevel="0" collapsed="false">
      <c r="A267" s="15" t="n">
        <v>45906</v>
      </c>
      <c r="B267" s="16" t="str">
        <f aca="false">TEXT(A267,"ddd")</f>
        <v>Sat</v>
      </c>
      <c r="C267" s="16" t="str">
        <f aca="false">TEXT(A267,"mmm")</f>
        <v>Sep</v>
      </c>
      <c r="D267" s="16" t="s">
        <v>31</v>
      </c>
      <c r="E267" s="16" t="str">
        <f aca="false">INDEX(Products!$B$2:$B$9,MATCH(D267,Products!$A$2:$A$9,0))</f>
        <v>Hot Espresso</v>
      </c>
      <c r="F267" s="17" t="n">
        <f aca="false">INDEX(Products!$C$2:$C$9,MATCH(D267,Products!$A$2:$A$9,0))</f>
        <v>5.45</v>
      </c>
      <c r="G267" s="18" t="n">
        <v>44</v>
      </c>
      <c r="H267" s="17" t="n">
        <f aca="false">F267*G267</f>
        <v>239.8</v>
      </c>
    </row>
    <row r="268" customFormat="false" ht="15" hidden="false" customHeight="false" outlineLevel="0" collapsed="false">
      <c r="A268" s="15" t="n">
        <v>45906</v>
      </c>
      <c r="B268" s="16" t="str">
        <f aca="false">TEXT(A268,"ddd")</f>
        <v>Sat</v>
      </c>
      <c r="C268" s="16" t="str">
        <f aca="false">TEXT(A268,"mmm")</f>
        <v>Sep</v>
      </c>
      <c r="D268" s="16" t="s">
        <v>32</v>
      </c>
      <c r="E268" s="16" t="str">
        <f aca="false">INDEX(Products!$B$2:$B$9,MATCH(D268,Products!$A$2:$A$9,0))</f>
        <v>Hot Espresso</v>
      </c>
      <c r="F268" s="17" t="n">
        <f aca="false">INDEX(Products!$C$2:$C$9,MATCH(D268,Products!$A$2:$A$9,0))</f>
        <v>3.75</v>
      </c>
      <c r="G268" s="18" t="n">
        <v>29</v>
      </c>
      <c r="H268" s="17" t="n">
        <f aca="false">F268*G268</f>
        <v>108.75</v>
      </c>
    </row>
    <row r="269" customFormat="false" ht="15" hidden="false" customHeight="false" outlineLevel="0" collapsed="false">
      <c r="A269" s="15" t="n">
        <v>45906</v>
      </c>
      <c r="B269" s="16" t="str">
        <f aca="false">TEXT(A269,"ddd")</f>
        <v>Sat</v>
      </c>
      <c r="C269" s="16" t="str">
        <f aca="false">TEXT(A269,"mmm")</f>
        <v>Sep</v>
      </c>
      <c r="D269" s="16" t="s">
        <v>33</v>
      </c>
      <c r="E269" s="16" t="str">
        <f aca="false">INDEX(Products!$B$2:$B$9,MATCH(D269,Products!$A$2:$A$9,0))</f>
        <v>Hot Espresso</v>
      </c>
      <c r="F269" s="17" t="n">
        <f aca="false">INDEX(Products!$C$2:$C$9,MATCH(D269,Products!$A$2:$A$9,0))</f>
        <v>5.25</v>
      </c>
      <c r="G269" s="18" t="n">
        <v>34</v>
      </c>
      <c r="H269" s="17" t="n">
        <f aca="false">F269*G269</f>
        <v>178.5</v>
      </c>
    </row>
    <row r="270" customFormat="false" ht="15" hidden="false" customHeight="false" outlineLevel="0" collapsed="false">
      <c r="A270" s="15" t="n">
        <v>45906</v>
      </c>
      <c r="B270" s="16" t="str">
        <f aca="false">TEXT(A270,"ddd")</f>
        <v>Sat</v>
      </c>
      <c r="C270" s="16" t="str">
        <f aca="false">TEXT(A270,"mmm")</f>
        <v>Sep</v>
      </c>
      <c r="D270" s="16" t="s">
        <v>34</v>
      </c>
      <c r="E270" s="16" t="str">
        <f aca="false">INDEX(Products!$B$2:$B$9,MATCH(D270,Products!$A$2:$A$9,0))</f>
        <v>Seasonal</v>
      </c>
      <c r="F270" s="17" t="n">
        <f aca="false">INDEX(Products!$C$2:$C$9,MATCH(D270,Products!$A$2:$A$9,0))</f>
        <v>5.75</v>
      </c>
      <c r="G270" s="18" t="n">
        <v>84</v>
      </c>
      <c r="H270" s="17" t="n">
        <f aca="false">F270*G270</f>
        <v>483</v>
      </c>
    </row>
    <row r="271" customFormat="false" ht="15" hidden="false" customHeight="false" outlineLevel="0" collapsed="false">
      <c r="A271" s="15" t="n">
        <v>45906</v>
      </c>
      <c r="B271" s="16" t="str">
        <f aca="false">TEXT(A271,"ddd")</f>
        <v>Sat</v>
      </c>
      <c r="C271" s="16" t="str">
        <f aca="false">TEXT(A271,"mmm")</f>
        <v>Sep</v>
      </c>
      <c r="D271" s="16" t="s">
        <v>36</v>
      </c>
      <c r="E271" s="16" t="str">
        <f aca="false">INDEX(Products!$B$2:$B$9,MATCH(D271,Products!$A$2:$A$9,0))</f>
        <v>Cold Drinks</v>
      </c>
      <c r="F271" s="17" t="n">
        <f aca="false">INDEX(Products!$C$2:$C$9,MATCH(D271,Products!$A$2:$A$9,0))</f>
        <v>3.95</v>
      </c>
      <c r="G271" s="18" t="n">
        <v>70</v>
      </c>
      <c r="H271" s="17" t="n">
        <f aca="false">F271*G271</f>
        <v>276.5</v>
      </c>
    </row>
    <row r="272" customFormat="false" ht="15" hidden="false" customHeight="false" outlineLevel="0" collapsed="false">
      <c r="A272" s="15" t="n">
        <v>45906</v>
      </c>
      <c r="B272" s="16" t="str">
        <f aca="false">TEXT(A272,"ddd")</f>
        <v>Sat</v>
      </c>
      <c r="C272" s="16" t="str">
        <f aca="false">TEXT(A272,"mmm")</f>
        <v>Sep</v>
      </c>
      <c r="D272" s="16" t="s">
        <v>38</v>
      </c>
      <c r="E272" s="16" t="str">
        <f aca="false">INDEX(Products!$B$2:$B$9,MATCH(D272,Products!$A$2:$A$9,0))</f>
        <v>Cold Drinks</v>
      </c>
      <c r="F272" s="17" t="n">
        <f aca="false">INDEX(Products!$C$2:$C$9,MATCH(D272,Products!$A$2:$A$9,0))</f>
        <v>4.45</v>
      </c>
      <c r="G272" s="18" t="n">
        <v>55</v>
      </c>
      <c r="H272" s="17" t="n">
        <f aca="false">F272*G272</f>
        <v>244.75</v>
      </c>
    </row>
    <row r="273" customFormat="false" ht="15" hidden="false" customHeight="false" outlineLevel="0" collapsed="false">
      <c r="A273" s="15" t="n">
        <v>45907</v>
      </c>
      <c r="B273" s="16" t="str">
        <f aca="false">TEXT(A273,"ddd")</f>
        <v>Sun</v>
      </c>
      <c r="C273" s="16" t="str">
        <f aca="false">TEXT(A273,"mmm")</f>
        <v>Sep</v>
      </c>
      <c r="D273" s="16" t="s">
        <v>28</v>
      </c>
      <c r="E273" s="16" t="str">
        <f aca="false">INDEX(Products!$B$2:$B$9,MATCH(D273,Products!$A$2:$A$9,0))</f>
        <v>Hot Espresso</v>
      </c>
      <c r="F273" s="17" t="n">
        <f aca="false">INDEX(Products!$C$2:$C$9,MATCH(D273,Products!$A$2:$A$9,0))</f>
        <v>4.95</v>
      </c>
      <c r="G273" s="18" t="n">
        <v>65</v>
      </c>
      <c r="H273" s="17" t="n">
        <f aca="false">F273*G273</f>
        <v>321.75</v>
      </c>
    </row>
    <row r="274" customFormat="false" ht="15" hidden="false" customHeight="false" outlineLevel="0" collapsed="false">
      <c r="A274" s="15" t="n">
        <v>45907</v>
      </c>
      <c r="B274" s="16" t="str">
        <f aca="false">TEXT(A274,"ddd")</f>
        <v>Sun</v>
      </c>
      <c r="C274" s="16" t="str">
        <f aca="false">TEXT(A274,"mmm")</f>
        <v>Sep</v>
      </c>
      <c r="D274" s="16" t="s">
        <v>30</v>
      </c>
      <c r="E274" s="16" t="str">
        <f aca="false">INDEX(Products!$B$2:$B$9,MATCH(D274,Products!$A$2:$A$9,0))</f>
        <v>Hot Espresso</v>
      </c>
      <c r="F274" s="17" t="n">
        <f aca="false">INDEX(Products!$C$2:$C$9,MATCH(D274,Products!$A$2:$A$9,0))</f>
        <v>4.75</v>
      </c>
      <c r="G274" s="18" t="n">
        <v>48</v>
      </c>
      <c r="H274" s="17" t="n">
        <f aca="false">F274*G274</f>
        <v>228</v>
      </c>
    </row>
    <row r="275" customFormat="false" ht="15" hidden="false" customHeight="false" outlineLevel="0" collapsed="false">
      <c r="A275" s="15" t="n">
        <v>45907</v>
      </c>
      <c r="B275" s="16" t="str">
        <f aca="false">TEXT(A275,"ddd")</f>
        <v>Sun</v>
      </c>
      <c r="C275" s="16" t="str">
        <f aca="false">TEXT(A275,"mmm")</f>
        <v>Sep</v>
      </c>
      <c r="D275" s="16" t="s">
        <v>31</v>
      </c>
      <c r="E275" s="16" t="str">
        <f aca="false">INDEX(Products!$B$2:$B$9,MATCH(D275,Products!$A$2:$A$9,0))</f>
        <v>Hot Espresso</v>
      </c>
      <c r="F275" s="17" t="n">
        <f aca="false">INDEX(Products!$C$2:$C$9,MATCH(D275,Products!$A$2:$A$9,0))</f>
        <v>5.45</v>
      </c>
      <c r="G275" s="18" t="n">
        <v>39</v>
      </c>
      <c r="H275" s="17" t="n">
        <f aca="false">F275*G275</f>
        <v>212.55</v>
      </c>
    </row>
    <row r="276" customFormat="false" ht="15" hidden="false" customHeight="false" outlineLevel="0" collapsed="false">
      <c r="A276" s="15" t="n">
        <v>45907</v>
      </c>
      <c r="B276" s="16" t="str">
        <f aca="false">TEXT(A276,"ddd")</f>
        <v>Sun</v>
      </c>
      <c r="C276" s="16" t="str">
        <f aca="false">TEXT(A276,"mmm")</f>
        <v>Sep</v>
      </c>
      <c r="D276" s="16" t="s">
        <v>32</v>
      </c>
      <c r="E276" s="16" t="str">
        <f aca="false">INDEX(Products!$B$2:$B$9,MATCH(D276,Products!$A$2:$A$9,0))</f>
        <v>Hot Espresso</v>
      </c>
      <c r="F276" s="17" t="n">
        <f aca="false">INDEX(Products!$C$2:$C$9,MATCH(D276,Products!$A$2:$A$9,0))</f>
        <v>3.75</v>
      </c>
      <c r="G276" s="18" t="n">
        <v>34</v>
      </c>
      <c r="H276" s="17" t="n">
        <f aca="false">F276*G276</f>
        <v>127.5</v>
      </c>
    </row>
    <row r="277" customFormat="false" ht="15" hidden="false" customHeight="false" outlineLevel="0" collapsed="false">
      <c r="A277" s="15" t="n">
        <v>45907</v>
      </c>
      <c r="B277" s="16" t="str">
        <f aca="false">TEXT(A277,"ddd")</f>
        <v>Sun</v>
      </c>
      <c r="C277" s="16" t="str">
        <f aca="false">TEXT(A277,"mmm")</f>
        <v>Sep</v>
      </c>
      <c r="D277" s="16" t="s">
        <v>33</v>
      </c>
      <c r="E277" s="16" t="str">
        <f aca="false">INDEX(Products!$B$2:$B$9,MATCH(D277,Products!$A$2:$A$9,0))</f>
        <v>Hot Espresso</v>
      </c>
      <c r="F277" s="17" t="n">
        <f aca="false">INDEX(Products!$C$2:$C$9,MATCH(D277,Products!$A$2:$A$9,0))</f>
        <v>5.25</v>
      </c>
      <c r="G277" s="18" t="n">
        <v>38</v>
      </c>
      <c r="H277" s="17" t="n">
        <f aca="false">F277*G277</f>
        <v>199.5</v>
      </c>
    </row>
    <row r="278" customFormat="false" ht="15" hidden="false" customHeight="false" outlineLevel="0" collapsed="false">
      <c r="A278" s="15" t="n">
        <v>45907</v>
      </c>
      <c r="B278" s="16" t="str">
        <f aca="false">TEXT(A278,"ddd")</f>
        <v>Sun</v>
      </c>
      <c r="C278" s="16" t="str">
        <f aca="false">TEXT(A278,"mmm")</f>
        <v>Sep</v>
      </c>
      <c r="D278" s="16" t="s">
        <v>34</v>
      </c>
      <c r="E278" s="16" t="str">
        <f aca="false">INDEX(Products!$B$2:$B$9,MATCH(D278,Products!$A$2:$A$9,0))</f>
        <v>Seasonal</v>
      </c>
      <c r="F278" s="17" t="n">
        <f aca="false">INDEX(Products!$C$2:$C$9,MATCH(D278,Products!$A$2:$A$9,0))</f>
        <v>5.75</v>
      </c>
      <c r="G278" s="18" t="n">
        <v>85</v>
      </c>
      <c r="H278" s="17" t="n">
        <f aca="false">F278*G278</f>
        <v>488.75</v>
      </c>
    </row>
    <row r="279" customFormat="false" ht="15" hidden="false" customHeight="false" outlineLevel="0" collapsed="false">
      <c r="A279" s="15" t="n">
        <v>45907</v>
      </c>
      <c r="B279" s="16" t="str">
        <f aca="false">TEXT(A279,"ddd")</f>
        <v>Sun</v>
      </c>
      <c r="C279" s="16" t="str">
        <f aca="false">TEXT(A279,"mmm")</f>
        <v>Sep</v>
      </c>
      <c r="D279" s="16" t="s">
        <v>36</v>
      </c>
      <c r="E279" s="16" t="str">
        <f aca="false">INDEX(Products!$B$2:$B$9,MATCH(D279,Products!$A$2:$A$9,0))</f>
        <v>Cold Drinks</v>
      </c>
      <c r="F279" s="17" t="n">
        <f aca="false">INDEX(Products!$C$2:$C$9,MATCH(D279,Products!$A$2:$A$9,0))</f>
        <v>3.95</v>
      </c>
      <c r="G279" s="18" t="n">
        <v>70</v>
      </c>
      <c r="H279" s="17" t="n">
        <f aca="false">F279*G279</f>
        <v>276.5</v>
      </c>
    </row>
    <row r="280" customFormat="false" ht="15" hidden="false" customHeight="false" outlineLevel="0" collapsed="false">
      <c r="A280" s="15" t="n">
        <v>45907</v>
      </c>
      <c r="B280" s="16" t="str">
        <f aca="false">TEXT(A280,"ddd")</f>
        <v>Sun</v>
      </c>
      <c r="C280" s="16" t="str">
        <f aca="false">TEXT(A280,"mmm")</f>
        <v>Sep</v>
      </c>
      <c r="D280" s="16" t="s">
        <v>38</v>
      </c>
      <c r="E280" s="16" t="str">
        <f aca="false">INDEX(Products!$B$2:$B$9,MATCH(D280,Products!$A$2:$A$9,0))</f>
        <v>Cold Drinks</v>
      </c>
      <c r="F280" s="17" t="n">
        <f aca="false">INDEX(Products!$C$2:$C$9,MATCH(D280,Products!$A$2:$A$9,0))</f>
        <v>4.45</v>
      </c>
      <c r="G280" s="18" t="n">
        <v>49</v>
      </c>
      <c r="H280" s="17" t="n">
        <f aca="false">F280*G280</f>
        <v>218.05</v>
      </c>
    </row>
    <row r="281" customFormat="false" ht="15" hidden="false" customHeight="false" outlineLevel="0" collapsed="false">
      <c r="A281" s="15" t="n">
        <v>45908</v>
      </c>
      <c r="B281" s="16" t="str">
        <f aca="false">TEXT(A281,"ddd")</f>
        <v>Mon</v>
      </c>
      <c r="C281" s="16" t="str">
        <f aca="false">TEXT(A281,"mmm")</f>
        <v>Sep</v>
      </c>
      <c r="D281" s="16" t="s">
        <v>28</v>
      </c>
      <c r="E281" s="16" t="str">
        <f aca="false">INDEX(Products!$B$2:$B$9,MATCH(D281,Products!$A$2:$A$9,0))</f>
        <v>Hot Espresso</v>
      </c>
      <c r="F281" s="17" t="n">
        <f aca="false">INDEX(Products!$C$2:$C$9,MATCH(D281,Products!$A$2:$A$9,0))</f>
        <v>4.95</v>
      </c>
      <c r="G281" s="18" t="n">
        <v>70</v>
      </c>
      <c r="H281" s="17" t="n">
        <f aca="false">F281*G281</f>
        <v>346.5</v>
      </c>
    </row>
    <row r="282" customFormat="false" ht="15" hidden="false" customHeight="false" outlineLevel="0" collapsed="false">
      <c r="A282" s="15" t="n">
        <v>45908</v>
      </c>
      <c r="B282" s="16" t="str">
        <f aca="false">TEXT(A282,"ddd")</f>
        <v>Mon</v>
      </c>
      <c r="C282" s="16" t="str">
        <f aca="false">TEXT(A282,"mmm")</f>
        <v>Sep</v>
      </c>
      <c r="D282" s="16" t="s">
        <v>30</v>
      </c>
      <c r="E282" s="16" t="str">
        <f aca="false">INDEX(Products!$B$2:$B$9,MATCH(D282,Products!$A$2:$A$9,0))</f>
        <v>Hot Espresso</v>
      </c>
      <c r="F282" s="17" t="n">
        <f aca="false">INDEX(Products!$C$2:$C$9,MATCH(D282,Products!$A$2:$A$9,0))</f>
        <v>4.75</v>
      </c>
      <c r="G282" s="18" t="n">
        <v>47</v>
      </c>
      <c r="H282" s="17" t="n">
        <f aca="false">F282*G282</f>
        <v>223.25</v>
      </c>
    </row>
    <row r="283" customFormat="false" ht="15" hidden="false" customHeight="false" outlineLevel="0" collapsed="false">
      <c r="A283" s="15" t="n">
        <v>45908</v>
      </c>
      <c r="B283" s="16" t="str">
        <f aca="false">TEXT(A283,"ddd")</f>
        <v>Mon</v>
      </c>
      <c r="C283" s="16" t="str">
        <f aca="false">TEXT(A283,"mmm")</f>
        <v>Sep</v>
      </c>
      <c r="D283" s="16" t="s">
        <v>31</v>
      </c>
      <c r="E283" s="16" t="str">
        <f aca="false">INDEX(Products!$B$2:$B$9,MATCH(D283,Products!$A$2:$A$9,0))</f>
        <v>Hot Espresso</v>
      </c>
      <c r="F283" s="17" t="n">
        <f aca="false">INDEX(Products!$C$2:$C$9,MATCH(D283,Products!$A$2:$A$9,0))</f>
        <v>5.45</v>
      </c>
      <c r="G283" s="18" t="n">
        <v>40</v>
      </c>
      <c r="H283" s="17" t="n">
        <f aca="false">F283*G283</f>
        <v>218</v>
      </c>
    </row>
    <row r="284" customFormat="false" ht="15" hidden="false" customHeight="false" outlineLevel="0" collapsed="false">
      <c r="A284" s="15" t="n">
        <v>45908</v>
      </c>
      <c r="B284" s="16" t="str">
        <f aca="false">TEXT(A284,"ddd")</f>
        <v>Mon</v>
      </c>
      <c r="C284" s="16" t="str">
        <f aca="false">TEXT(A284,"mmm")</f>
        <v>Sep</v>
      </c>
      <c r="D284" s="16" t="s">
        <v>32</v>
      </c>
      <c r="E284" s="16" t="str">
        <f aca="false">INDEX(Products!$B$2:$B$9,MATCH(D284,Products!$A$2:$A$9,0))</f>
        <v>Hot Espresso</v>
      </c>
      <c r="F284" s="17" t="n">
        <f aca="false">INDEX(Products!$C$2:$C$9,MATCH(D284,Products!$A$2:$A$9,0))</f>
        <v>3.75</v>
      </c>
      <c r="G284" s="18" t="n">
        <v>29</v>
      </c>
      <c r="H284" s="17" t="n">
        <f aca="false">F284*G284</f>
        <v>108.75</v>
      </c>
    </row>
    <row r="285" customFormat="false" ht="15" hidden="false" customHeight="false" outlineLevel="0" collapsed="false">
      <c r="A285" s="15" t="n">
        <v>45908</v>
      </c>
      <c r="B285" s="16" t="str">
        <f aca="false">TEXT(A285,"ddd")</f>
        <v>Mon</v>
      </c>
      <c r="C285" s="16" t="str">
        <f aca="false">TEXT(A285,"mmm")</f>
        <v>Sep</v>
      </c>
      <c r="D285" s="16" t="s">
        <v>33</v>
      </c>
      <c r="E285" s="16" t="str">
        <f aca="false">INDEX(Products!$B$2:$B$9,MATCH(D285,Products!$A$2:$A$9,0))</f>
        <v>Hot Espresso</v>
      </c>
      <c r="F285" s="17" t="n">
        <f aca="false">INDEX(Products!$C$2:$C$9,MATCH(D285,Products!$A$2:$A$9,0))</f>
        <v>5.25</v>
      </c>
      <c r="G285" s="18" t="n">
        <v>32</v>
      </c>
      <c r="H285" s="17" t="n">
        <f aca="false">F285*G285</f>
        <v>168</v>
      </c>
    </row>
    <row r="286" customFormat="false" ht="15" hidden="false" customHeight="false" outlineLevel="0" collapsed="false">
      <c r="A286" s="15" t="n">
        <v>45908</v>
      </c>
      <c r="B286" s="16" t="str">
        <f aca="false">TEXT(A286,"ddd")</f>
        <v>Mon</v>
      </c>
      <c r="C286" s="16" t="str">
        <f aca="false">TEXT(A286,"mmm")</f>
        <v>Sep</v>
      </c>
      <c r="D286" s="16" t="s">
        <v>34</v>
      </c>
      <c r="E286" s="16" t="str">
        <f aca="false">INDEX(Products!$B$2:$B$9,MATCH(D286,Products!$A$2:$A$9,0))</f>
        <v>Seasonal</v>
      </c>
      <c r="F286" s="17" t="n">
        <f aca="false">INDEX(Products!$C$2:$C$9,MATCH(D286,Products!$A$2:$A$9,0))</f>
        <v>5.75</v>
      </c>
      <c r="G286" s="18" t="n">
        <v>60</v>
      </c>
      <c r="H286" s="17" t="n">
        <f aca="false">F286*G286</f>
        <v>345</v>
      </c>
    </row>
    <row r="287" customFormat="false" ht="15" hidden="false" customHeight="false" outlineLevel="0" collapsed="false">
      <c r="A287" s="15" t="n">
        <v>45908</v>
      </c>
      <c r="B287" s="16" t="str">
        <f aca="false">TEXT(A287,"ddd")</f>
        <v>Mon</v>
      </c>
      <c r="C287" s="16" t="str">
        <f aca="false">TEXT(A287,"mmm")</f>
        <v>Sep</v>
      </c>
      <c r="D287" s="16" t="s">
        <v>36</v>
      </c>
      <c r="E287" s="16" t="str">
        <f aca="false">INDEX(Products!$B$2:$B$9,MATCH(D287,Products!$A$2:$A$9,0))</f>
        <v>Cold Drinks</v>
      </c>
      <c r="F287" s="17" t="n">
        <f aca="false">INDEX(Products!$C$2:$C$9,MATCH(D287,Products!$A$2:$A$9,0))</f>
        <v>3.95</v>
      </c>
      <c r="G287" s="18" t="n">
        <v>60</v>
      </c>
      <c r="H287" s="17" t="n">
        <f aca="false">F287*G287</f>
        <v>237</v>
      </c>
    </row>
    <row r="288" customFormat="false" ht="15" hidden="false" customHeight="false" outlineLevel="0" collapsed="false">
      <c r="A288" s="15" t="n">
        <v>45908</v>
      </c>
      <c r="B288" s="16" t="str">
        <f aca="false">TEXT(A288,"ddd")</f>
        <v>Mon</v>
      </c>
      <c r="C288" s="16" t="str">
        <f aca="false">TEXT(A288,"mmm")</f>
        <v>Sep</v>
      </c>
      <c r="D288" s="16" t="s">
        <v>38</v>
      </c>
      <c r="E288" s="16" t="str">
        <f aca="false">INDEX(Products!$B$2:$B$9,MATCH(D288,Products!$A$2:$A$9,0))</f>
        <v>Cold Drinks</v>
      </c>
      <c r="F288" s="17" t="n">
        <f aca="false">INDEX(Products!$C$2:$C$9,MATCH(D288,Products!$A$2:$A$9,0))</f>
        <v>4.45</v>
      </c>
      <c r="G288" s="18" t="n">
        <v>46</v>
      </c>
      <c r="H288" s="17" t="n">
        <f aca="false">F288*G288</f>
        <v>204.7</v>
      </c>
    </row>
    <row r="289" customFormat="false" ht="15" hidden="false" customHeight="false" outlineLevel="0" collapsed="false">
      <c r="A289" s="15" t="n">
        <v>45909</v>
      </c>
      <c r="B289" s="16" t="str">
        <f aca="false">TEXT(A289,"ddd")</f>
        <v>Tue</v>
      </c>
      <c r="C289" s="16" t="str">
        <f aca="false">TEXT(A289,"mmm")</f>
        <v>Sep</v>
      </c>
      <c r="D289" s="16" t="s">
        <v>28</v>
      </c>
      <c r="E289" s="16" t="str">
        <f aca="false">INDEX(Products!$B$2:$B$9,MATCH(D289,Products!$A$2:$A$9,0))</f>
        <v>Hot Espresso</v>
      </c>
      <c r="F289" s="17" t="n">
        <f aca="false">INDEX(Products!$C$2:$C$9,MATCH(D289,Products!$A$2:$A$9,0))</f>
        <v>4.95</v>
      </c>
      <c r="G289" s="18" t="n">
        <v>62</v>
      </c>
      <c r="H289" s="17" t="n">
        <f aca="false">F289*G289</f>
        <v>306.9</v>
      </c>
    </row>
    <row r="290" customFormat="false" ht="15" hidden="false" customHeight="false" outlineLevel="0" collapsed="false">
      <c r="A290" s="15" t="n">
        <v>45909</v>
      </c>
      <c r="B290" s="16" t="str">
        <f aca="false">TEXT(A290,"ddd")</f>
        <v>Tue</v>
      </c>
      <c r="C290" s="16" t="str">
        <f aca="false">TEXT(A290,"mmm")</f>
        <v>Sep</v>
      </c>
      <c r="D290" s="16" t="s">
        <v>30</v>
      </c>
      <c r="E290" s="16" t="str">
        <f aca="false">INDEX(Products!$B$2:$B$9,MATCH(D290,Products!$A$2:$A$9,0))</f>
        <v>Hot Espresso</v>
      </c>
      <c r="F290" s="17" t="n">
        <f aca="false">INDEX(Products!$C$2:$C$9,MATCH(D290,Products!$A$2:$A$9,0))</f>
        <v>4.75</v>
      </c>
      <c r="G290" s="18" t="n">
        <v>45</v>
      </c>
      <c r="H290" s="17" t="n">
        <f aca="false">F290*G290</f>
        <v>213.75</v>
      </c>
    </row>
    <row r="291" customFormat="false" ht="15" hidden="false" customHeight="false" outlineLevel="0" collapsed="false">
      <c r="A291" s="15" t="n">
        <v>45909</v>
      </c>
      <c r="B291" s="16" t="str">
        <f aca="false">TEXT(A291,"ddd")</f>
        <v>Tue</v>
      </c>
      <c r="C291" s="16" t="str">
        <f aca="false">TEXT(A291,"mmm")</f>
        <v>Sep</v>
      </c>
      <c r="D291" s="16" t="s">
        <v>31</v>
      </c>
      <c r="E291" s="16" t="str">
        <f aca="false">INDEX(Products!$B$2:$B$9,MATCH(D291,Products!$A$2:$A$9,0))</f>
        <v>Hot Espresso</v>
      </c>
      <c r="F291" s="17" t="n">
        <f aca="false">INDEX(Products!$C$2:$C$9,MATCH(D291,Products!$A$2:$A$9,0))</f>
        <v>5.45</v>
      </c>
      <c r="G291" s="18" t="n">
        <v>43</v>
      </c>
      <c r="H291" s="17" t="n">
        <f aca="false">F291*G291</f>
        <v>234.35</v>
      </c>
    </row>
    <row r="292" customFormat="false" ht="15" hidden="false" customHeight="false" outlineLevel="0" collapsed="false">
      <c r="A292" s="15" t="n">
        <v>45909</v>
      </c>
      <c r="B292" s="16" t="str">
        <f aca="false">TEXT(A292,"ddd")</f>
        <v>Tue</v>
      </c>
      <c r="C292" s="16" t="str">
        <f aca="false">TEXT(A292,"mmm")</f>
        <v>Sep</v>
      </c>
      <c r="D292" s="16" t="s">
        <v>32</v>
      </c>
      <c r="E292" s="16" t="str">
        <f aca="false">INDEX(Products!$B$2:$B$9,MATCH(D292,Products!$A$2:$A$9,0))</f>
        <v>Hot Espresso</v>
      </c>
      <c r="F292" s="17" t="n">
        <f aca="false">INDEX(Products!$C$2:$C$9,MATCH(D292,Products!$A$2:$A$9,0))</f>
        <v>3.75</v>
      </c>
      <c r="G292" s="18" t="n">
        <v>34</v>
      </c>
      <c r="H292" s="17" t="n">
        <f aca="false">F292*G292</f>
        <v>127.5</v>
      </c>
    </row>
    <row r="293" customFormat="false" ht="15" hidden="false" customHeight="false" outlineLevel="0" collapsed="false">
      <c r="A293" s="15" t="n">
        <v>45909</v>
      </c>
      <c r="B293" s="16" t="str">
        <f aca="false">TEXT(A293,"ddd")</f>
        <v>Tue</v>
      </c>
      <c r="C293" s="16" t="str">
        <f aca="false">TEXT(A293,"mmm")</f>
        <v>Sep</v>
      </c>
      <c r="D293" s="16" t="s">
        <v>33</v>
      </c>
      <c r="E293" s="16" t="str">
        <f aca="false">INDEX(Products!$B$2:$B$9,MATCH(D293,Products!$A$2:$A$9,0))</f>
        <v>Hot Espresso</v>
      </c>
      <c r="F293" s="17" t="n">
        <f aca="false">INDEX(Products!$C$2:$C$9,MATCH(D293,Products!$A$2:$A$9,0))</f>
        <v>5.25</v>
      </c>
      <c r="G293" s="18" t="n">
        <v>34</v>
      </c>
      <c r="H293" s="17" t="n">
        <f aca="false">F293*G293</f>
        <v>178.5</v>
      </c>
    </row>
    <row r="294" customFormat="false" ht="15" hidden="false" customHeight="false" outlineLevel="0" collapsed="false">
      <c r="A294" s="15" t="n">
        <v>45909</v>
      </c>
      <c r="B294" s="16" t="str">
        <f aca="false">TEXT(A294,"ddd")</f>
        <v>Tue</v>
      </c>
      <c r="C294" s="16" t="str">
        <f aca="false">TEXT(A294,"mmm")</f>
        <v>Sep</v>
      </c>
      <c r="D294" s="16" t="s">
        <v>34</v>
      </c>
      <c r="E294" s="16" t="str">
        <f aca="false">INDEX(Products!$B$2:$B$9,MATCH(D294,Products!$A$2:$A$9,0))</f>
        <v>Seasonal</v>
      </c>
      <c r="F294" s="17" t="n">
        <f aca="false">INDEX(Products!$C$2:$C$9,MATCH(D294,Products!$A$2:$A$9,0))</f>
        <v>5.75</v>
      </c>
      <c r="G294" s="18" t="n">
        <v>69</v>
      </c>
      <c r="H294" s="17" t="n">
        <f aca="false">F294*G294</f>
        <v>396.75</v>
      </c>
    </row>
    <row r="295" customFormat="false" ht="15" hidden="false" customHeight="false" outlineLevel="0" collapsed="false">
      <c r="A295" s="15" t="n">
        <v>45909</v>
      </c>
      <c r="B295" s="16" t="str">
        <f aca="false">TEXT(A295,"ddd")</f>
        <v>Tue</v>
      </c>
      <c r="C295" s="16" t="str">
        <f aca="false">TEXT(A295,"mmm")</f>
        <v>Sep</v>
      </c>
      <c r="D295" s="16" t="s">
        <v>36</v>
      </c>
      <c r="E295" s="16" t="str">
        <f aca="false">INDEX(Products!$B$2:$B$9,MATCH(D295,Products!$A$2:$A$9,0))</f>
        <v>Cold Drinks</v>
      </c>
      <c r="F295" s="17" t="n">
        <f aca="false">INDEX(Products!$C$2:$C$9,MATCH(D295,Products!$A$2:$A$9,0))</f>
        <v>3.95</v>
      </c>
      <c r="G295" s="18" t="n">
        <v>56</v>
      </c>
      <c r="H295" s="17" t="n">
        <f aca="false">F295*G295</f>
        <v>221.2</v>
      </c>
    </row>
    <row r="296" customFormat="false" ht="15" hidden="false" customHeight="false" outlineLevel="0" collapsed="false">
      <c r="A296" s="15" t="n">
        <v>45909</v>
      </c>
      <c r="B296" s="16" t="str">
        <f aca="false">TEXT(A296,"ddd")</f>
        <v>Tue</v>
      </c>
      <c r="C296" s="16" t="str">
        <f aca="false">TEXT(A296,"mmm")</f>
        <v>Sep</v>
      </c>
      <c r="D296" s="16" t="s">
        <v>38</v>
      </c>
      <c r="E296" s="16" t="str">
        <f aca="false">INDEX(Products!$B$2:$B$9,MATCH(D296,Products!$A$2:$A$9,0))</f>
        <v>Cold Drinks</v>
      </c>
      <c r="F296" s="17" t="n">
        <f aca="false">INDEX(Products!$C$2:$C$9,MATCH(D296,Products!$A$2:$A$9,0))</f>
        <v>4.45</v>
      </c>
      <c r="G296" s="18" t="n">
        <v>44</v>
      </c>
      <c r="H296" s="17" t="n">
        <f aca="false">F296*G296</f>
        <v>195.8</v>
      </c>
    </row>
    <row r="297" customFormat="false" ht="15" hidden="false" customHeight="false" outlineLevel="0" collapsed="false">
      <c r="A297" s="15" t="n">
        <v>45910</v>
      </c>
      <c r="B297" s="16" t="str">
        <f aca="false">TEXT(A297,"ddd")</f>
        <v>Wed</v>
      </c>
      <c r="C297" s="16" t="str">
        <f aca="false">TEXT(A297,"mmm")</f>
        <v>Sep</v>
      </c>
      <c r="D297" s="16" t="s">
        <v>28</v>
      </c>
      <c r="E297" s="16" t="str">
        <f aca="false">INDEX(Products!$B$2:$B$9,MATCH(D297,Products!$A$2:$A$9,0))</f>
        <v>Hot Espresso</v>
      </c>
      <c r="F297" s="17" t="n">
        <f aca="false">INDEX(Products!$C$2:$C$9,MATCH(D297,Products!$A$2:$A$9,0))</f>
        <v>4.95</v>
      </c>
      <c r="G297" s="18" t="n">
        <v>58</v>
      </c>
      <c r="H297" s="17" t="n">
        <f aca="false">F297*G297</f>
        <v>287.1</v>
      </c>
    </row>
    <row r="298" customFormat="false" ht="15" hidden="false" customHeight="false" outlineLevel="0" collapsed="false">
      <c r="A298" s="15" t="n">
        <v>45910</v>
      </c>
      <c r="B298" s="16" t="str">
        <f aca="false">TEXT(A298,"ddd")</f>
        <v>Wed</v>
      </c>
      <c r="C298" s="16" t="str">
        <f aca="false">TEXT(A298,"mmm")</f>
        <v>Sep</v>
      </c>
      <c r="D298" s="16" t="s">
        <v>30</v>
      </c>
      <c r="E298" s="16" t="str">
        <f aca="false">INDEX(Products!$B$2:$B$9,MATCH(D298,Products!$A$2:$A$9,0))</f>
        <v>Hot Espresso</v>
      </c>
      <c r="F298" s="17" t="n">
        <f aca="false">INDEX(Products!$C$2:$C$9,MATCH(D298,Products!$A$2:$A$9,0))</f>
        <v>4.75</v>
      </c>
      <c r="G298" s="18" t="n">
        <v>48</v>
      </c>
      <c r="H298" s="17" t="n">
        <f aca="false">F298*G298</f>
        <v>228</v>
      </c>
    </row>
    <row r="299" customFormat="false" ht="15" hidden="false" customHeight="false" outlineLevel="0" collapsed="false">
      <c r="A299" s="15" t="n">
        <v>45910</v>
      </c>
      <c r="B299" s="16" t="str">
        <f aca="false">TEXT(A299,"ddd")</f>
        <v>Wed</v>
      </c>
      <c r="C299" s="16" t="str">
        <f aca="false">TEXT(A299,"mmm")</f>
        <v>Sep</v>
      </c>
      <c r="D299" s="16" t="s">
        <v>31</v>
      </c>
      <c r="E299" s="16" t="str">
        <f aca="false">INDEX(Products!$B$2:$B$9,MATCH(D299,Products!$A$2:$A$9,0))</f>
        <v>Hot Espresso</v>
      </c>
      <c r="F299" s="17" t="n">
        <f aca="false">INDEX(Products!$C$2:$C$9,MATCH(D299,Products!$A$2:$A$9,0))</f>
        <v>5.45</v>
      </c>
      <c r="G299" s="18" t="n">
        <v>43</v>
      </c>
      <c r="H299" s="17" t="n">
        <f aca="false">F299*G299</f>
        <v>234.35</v>
      </c>
    </row>
    <row r="300" customFormat="false" ht="15" hidden="false" customHeight="false" outlineLevel="0" collapsed="false">
      <c r="A300" s="15" t="n">
        <v>45910</v>
      </c>
      <c r="B300" s="16" t="str">
        <f aca="false">TEXT(A300,"ddd")</f>
        <v>Wed</v>
      </c>
      <c r="C300" s="16" t="str">
        <f aca="false">TEXT(A300,"mmm")</f>
        <v>Sep</v>
      </c>
      <c r="D300" s="16" t="s">
        <v>32</v>
      </c>
      <c r="E300" s="16" t="str">
        <f aca="false">INDEX(Products!$B$2:$B$9,MATCH(D300,Products!$A$2:$A$9,0))</f>
        <v>Hot Espresso</v>
      </c>
      <c r="F300" s="17" t="n">
        <f aca="false">INDEX(Products!$C$2:$C$9,MATCH(D300,Products!$A$2:$A$9,0))</f>
        <v>3.75</v>
      </c>
      <c r="G300" s="18" t="n">
        <v>34</v>
      </c>
      <c r="H300" s="17" t="n">
        <f aca="false">F300*G300</f>
        <v>127.5</v>
      </c>
    </row>
    <row r="301" customFormat="false" ht="15" hidden="false" customHeight="false" outlineLevel="0" collapsed="false">
      <c r="A301" s="15" t="n">
        <v>45910</v>
      </c>
      <c r="B301" s="16" t="str">
        <f aca="false">TEXT(A301,"ddd")</f>
        <v>Wed</v>
      </c>
      <c r="C301" s="16" t="str">
        <f aca="false">TEXT(A301,"mmm")</f>
        <v>Sep</v>
      </c>
      <c r="D301" s="16" t="s">
        <v>33</v>
      </c>
      <c r="E301" s="16" t="str">
        <f aca="false">INDEX(Products!$B$2:$B$9,MATCH(D301,Products!$A$2:$A$9,0))</f>
        <v>Hot Espresso</v>
      </c>
      <c r="F301" s="17" t="n">
        <f aca="false">INDEX(Products!$C$2:$C$9,MATCH(D301,Products!$A$2:$A$9,0))</f>
        <v>5.25</v>
      </c>
      <c r="G301" s="18" t="n">
        <v>37</v>
      </c>
      <c r="H301" s="17" t="n">
        <f aca="false">F301*G301</f>
        <v>194.25</v>
      </c>
    </row>
    <row r="302" customFormat="false" ht="15" hidden="false" customHeight="false" outlineLevel="0" collapsed="false">
      <c r="A302" s="15" t="n">
        <v>45910</v>
      </c>
      <c r="B302" s="16" t="str">
        <f aca="false">TEXT(A302,"ddd")</f>
        <v>Wed</v>
      </c>
      <c r="C302" s="16" t="str">
        <f aca="false">TEXT(A302,"mmm")</f>
        <v>Sep</v>
      </c>
      <c r="D302" s="16" t="s">
        <v>34</v>
      </c>
      <c r="E302" s="16" t="str">
        <f aca="false">INDEX(Products!$B$2:$B$9,MATCH(D302,Products!$A$2:$A$9,0))</f>
        <v>Seasonal</v>
      </c>
      <c r="F302" s="17" t="n">
        <f aca="false">INDEX(Products!$C$2:$C$9,MATCH(D302,Products!$A$2:$A$9,0))</f>
        <v>5.75</v>
      </c>
      <c r="G302" s="18" t="n">
        <v>79</v>
      </c>
      <c r="H302" s="17" t="n">
        <f aca="false">F302*G302</f>
        <v>454.25</v>
      </c>
    </row>
    <row r="303" customFormat="false" ht="15" hidden="false" customHeight="false" outlineLevel="0" collapsed="false">
      <c r="A303" s="15" t="n">
        <v>45910</v>
      </c>
      <c r="B303" s="16" t="str">
        <f aca="false">TEXT(A303,"ddd")</f>
        <v>Wed</v>
      </c>
      <c r="C303" s="16" t="str">
        <f aca="false">TEXT(A303,"mmm")</f>
        <v>Sep</v>
      </c>
      <c r="D303" s="16" t="s">
        <v>36</v>
      </c>
      <c r="E303" s="16" t="str">
        <f aca="false">INDEX(Products!$B$2:$B$9,MATCH(D303,Products!$A$2:$A$9,0))</f>
        <v>Cold Drinks</v>
      </c>
      <c r="F303" s="17" t="n">
        <f aca="false">INDEX(Products!$C$2:$C$9,MATCH(D303,Products!$A$2:$A$9,0))</f>
        <v>3.95</v>
      </c>
      <c r="G303" s="18" t="n">
        <v>55</v>
      </c>
      <c r="H303" s="17" t="n">
        <f aca="false">F303*G303</f>
        <v>217.25</v>
      </c>
    </row>
    <row r="304" customFormat="false" ht="15" hidden="false" customHeight="false" outlineLevel="0" collapsed="false">
      <c r="A304" s="15" t="n">
        <v>45910</v>
      </c>
      <c r="B304" s="16" t="str">
        <f aca="false">TEXT(A304,"ddd")</f>
        <v>Wed</v>
      </c>
      <c r="C304" s="16" t="str">
        <f aca="false">TEXT(A304,"mmm")</f>
        <v>Sep</v>
      </c>
      <c r="D304" s="16" t="s">
        <v>38</v>
      </c>
      <c r="E304" s="16" t="str">
        <f aca="false">INDEX(Products!$B$2:$B$9,MATCH(D304,Products!$A$2:$A$9,0))</f>
        <v>Cold Drinks</v>
      </c>
      <c r="F304" s="17" t="n">
        <f aca="false">INDEX(Products!$C$2:$C$9,MATCH(D304,Products!$A$2:$A$9,0))</f>
        <v>4.45</v>
      </c>
      <c r="G304" s="18" t="n">
        <v>47</v>
      </c>
      <c r="H304" s="17" t="n">
        <f aca="false">F304*G304</f>
        <v>209.15</v>
      </c>
    </row>
    <row r="305" customFormat="false" ht="15" hidden="false" customHeight="false" outlineLevel="0" collapsed="false">
      <c r="A305" s="15" t="n">
        <v>45911</v>
      </c>
      <c r="B305" s="16" t="str">
        <f aca="false">TEXT(A305,"ddd")</f>
        <v>Thu</v>
      </c>
      <c r="C305" s="16" t="str">
        <f aca="false">TEXT(A305,"mmm")</f>
        <v>Sep</v>
      </c>
      <c r="D305" s="16" t="s">
        <v>28</v>
      </c>
      <c r="E305" s="16" t="str">
        <f aca="false">INDEX(Products!$B$2:$B$9,MATCH(D305,Products!$A$2:$A$9,0))</f>
        <v>Hot Espresso</v>
      </c>
      <c r="F305" s="17" t="n">
        <f aca="false">INDEX(Products!$C$2:$C$9,MATCH(D305,Products!$A$2:$A$9,0))</f>
        <v>4.95</v>
      </c>
      <c r="G305" s="18" t="n">
        <v>58</v>
      </c>
      <c r="H305" s="17" t="n">
        <f aca="false">F305*G305</f>
        <v>287.1</v>
      </c>
    </row>
    <row r="306" customFormat="false" ht="15" hidden="false" customHeight="false" outlineLevel="0" collapsed="false">
      <c r="A306" s="15" t="n">
        <v>45911</v>
      </c>
      <c r="B306" s="16" t="str">
        <f aca="false">TEXT(A306,"ddd")</f>
        <v>Thu</v>
      </c>
      <c r="C306" s="16" t="str">
        <f aca="false">TEXT(A306,"mmm")</f>
        <v>Sep</v>
      </c>
      <c r="D306" s="16" t="s">
        <v>30</v>
      </c>
      <c r="E306" s="16" t="str">
        <f aca="false">INDEX(Products!$B$2:$B$9,MATCH(D306,Products!$A$2:$A$9,0))</f>
        <v>Hot Espresso</v>
      </c>
      <c r="F306" s="17" t="n">
        <f aca="false">INDEX(Products!$C$2:$C$9,MATCH(D306,Products!$A$2:$A$9,0))</f>
        <v>4.75</v>
      </c>
      <c r="G306" s="18" t="n">
        <v>49</v>
      </c>
      <c r="H306" s="17" t="n">
        <f aca="false">F306*G306</f>
        <v>232.75</v>
      </c>
    </row>
    <row r="307" customFormat="false" ht="15" hidden="false" customHeight="false" outlineLevel="0" collapsed="false">
      <c r="A307" s="15" t="n">
        <v>45911</v>
      </c>
      <c r="B307" s="16" t="str">
        <f aca="false">TEXT(A307,"ddd")</f>
        <v>Thu</v>
      </c>
      <c r="C307" s="16" t="str">
        <f aca="false">TEXT(A307,"mmm")</f>
        <v>Sep</v>
      </c>
      <c r="D307" s="16" t="s">
        <v>31</v>
      </c>
      <c r="E307" s="16" t="str">
        <f aca="false">INDEX(Products!$B$2:$B$9,MATCH(D307,Products!$A$2:$A$9,0))</f>
        <v>Hot Espresso</v>
      </c>
      <c r="F307" s="17" t="n">
        <f aca="false">INDEX(Products!$C$2:$C$9,MATCH(D307,Products!$A$2:$A$9,0))</f>
        <v>5.45</v>
      </c>
      <c r="G307" s="18" t="n">
        <v>44</v>
      </c>
      <c r="H307" s="17" t="n">
        <f aca="false">F307*G307</f>
        <v>239.8</v>
      </c>
    </row>
    <row r="308" customFormat="false" ht="15" hidden="false" customHeight="false" outlineLevel="0" collapsed="false">
      <c r="A308" s="15" t="n">
        <v>45911</v>
      </c>
      <c r="B308" s="16" t="str">
        <f aca="false">TEXT(A308,"ddd")</f>
        <v>Thu</v>
      </c>
      <c r="C308" s="16" t="str">
        <f aca="false">TEXT(A308,"mmm")</f>
        <v>Sep</v>
      </c>
      <c r="D308" s="16" t="s">
        <v>32</v>
      </c>
      <c r="E308" s="16" t="str">
        <f aca="false">INDEX(Products!$B$2:$B$9,MATCH(D308,Products!$A$2:$A$9,0))</f>
        <v>Hot Espresso</v>
      </c>
      <c r="F308" s="17" t="n">
        <f aca="false">INDEX(Products!$C$2:$C$9,MATCH(D308,Products!$A$2:$A$9,0))</f>
        <v>3.75</v>
      </c>
      <c r="G308" s="18" t="n">
        <v>28</v>
      </c>
      <c r="H308" s="17" t="n">
        <f aca="false">F308*G308</f>
        <v>105</v>
      </c>
    </row>
    <row r="309" customFormat="false" ht="15" hidden="false" customHeight="false" outlineLevel="0" collapsed="false">
      <c r="A309" s="15" t="n">
        <v>45911</v>
      </c>
      <c r="B309" s="16" t="str">
        <f aca="false">TEXT(A309,"ddd")</f>
        <v>Thu</v>
      </c>
      <c r="C309" s="16" t="str">
        <f aca="false">TEXT(A309,"mmm")</f>
        <v>Sep</v>
      </c>
      <c r="D309" s="16" t="s">
        <v>33</v>
      </c>
      <c r="E309" s="16" t="str">
        <f aca="false">INDEX(Products!$B$2:$B$9,MATCH(D309,Products!$A$2:$A$9,0))</f>
        <v>Hot Espresso</v>
      </c>
      <c r="F309" s="17" t="n">
        <f aca="false">INDEX(Products!$C$2:$C$9,MATCH(D309,Products!$A$2:$A$9,0))</f>
        <v>5.25</v>
      </c>
      <c r="G309" s="18" t="n">
        <v>40</v>
      </c>
      <c r="H309" s="17" t="n">
        <f aca="false">F309*G309</f>
        <v>210</v>
      </c>
    </row>
    <row r="310" customFormat="false" ht="15" hidden="false" customHeight="false" outlineLevel="0" collapsed="false">
      <c r="A310" s="15" t="n">
        <v>45911</v>
      </c>
      <c r="B310" s="16" t="str">
        <f aca="false">TEXT(A310,"ddd")</f>
        <v>Thu</v>
      </c>
      <c r="C310" s="16" t="str">
        <f aca="false">TEXT(A310,"mmm")</f>
        <v>Sep</v>
      </c>
      <c r="D310" s="16" t="s">
        <v>34</v>
      </c>
      <c r="E310" s="16" t="str">
        <f aca="false">INDEX(Products!$B$2:$B$9,MATCH(D310,Products!$A$2:$A$9,0))</f>
        <v>Seasonal</v>
      </c>
      <c r="F310" s="17" t="n">
        <f aca="false">INDEX(Products!$C$2:$C$9,MATCH(D310,Products!$A$2:$A$9,0))</f>
        <v>5.75</v>
      </c>
      <c r="G310" s="18" t="n">
        <v>76</v>
      </c>
      <c r="H310" s="17" t="n">
        <f aca="false">F310*G310</f>
        <v>437</v>
      </c>
    </row>
    <row r="311" customFormat="false" ht="15" hidden="false" customHeight="false" outlineLevel="0" collapsed="false">
      <c r="A311" s="15" t="n">
        <v>45911</v>
      </c>
      <c r="B311" s="16" t="str">
        <f aca="false">TEXT(A311,"ddd")</f>
        <v>Thu</v>
      </c>
      <c r="C311" s="16" t="str">
        <f aca="false">TEXT(A311,"mmm")</f>
        <v>Sep</v>
      </c>
      <c r="D311" s="16" t="s">
        <v>36</v>
      </c>
      <c r="E311" s="16" t="str">
        <f aca="false">INDEX(Products!$B$2:$B$9,MATCH(D311,Products!$A$2:$A$9,0))</f>
        <v>Cold Drinks</v>
      </c>
      <c r="F311" s="17" t="n">
        <f aca="false">INDEX(Products!$C$2:$C$9,MATCH(D311,Products!$A$2:$A$9,0))</f>
        <v>3.95</v>
      </c>
      <c r="G311" s="18" t="n">
        <v>49</v>
      </c>
      <c r="H311" s="17" t="n">
        <f aca="false">F311*G311</f>
        <v>193.55</v>
      </c>
    </row>
    <row r="312" customFormat="false" ht="15" hidden="false" customHeight="false" outlineLevel="0" collapsed="false">
      <c r="A312" s="15" t="n">
        <v>45911</v>
      </c>
      <c r="B312" s="16" t="str">
        <f aca="false">TEXT(A312,"ddd")</f>
        <v>Thu</v>
      </c>
      <c r="C312" s="16" t="str">
        <f aca="false">TEXT(A312,"mmm")</f>
        <v>Sep</v>
      </c>
      <c r="D312" s="16" t="s">
        <v>38</v>
      </c>
      <c r="E312" s="16" t="str">
        <f aca="false">INDEX(Products!$B$2:$B$9,MATCH(D312,Products!$A$2:$A$9,0))</f>
        <v>Cold Drinks</v>
      </c>
      <c r="F312" s="17" t="n">
        <f aca="false">INDEX(Products!$C$2:$C$9,MATCH(D312,Products!$A$2:$A$9,0))</f>
        <v>4.45</v>
      </c>
      <c r="G312" s="18" t="n">
        <v>46</v>
      </c>
      <c r="H312" s="17" t="n">
        <f aca="false">F312*G312</f>
        <v>204.7</v>
      </c>
    </row>
    <row r="313" customFormat="false" ht="15" hidden="false" customHeight="false" outlineLevel="0" collapsed="false">
      <c r="A313" s="15" t="n">
        <v>45912</v>
      </c>
      <c r="B313" s="16" t="str">
        <f aca="false">TEXT(A313,"ddd")</f>
        <v>Fri</v>
      </c>
      <c r="C313" s="16" t="str">
        <f aca="false">TEXT(A313,"mmm")</f>
        <v>Sep</v>
      </c>
      <c r="D313" s="16" t="s">
        <v>28</v>
      </c>
      <c r="E313" s="16" t="str">
        <f aca="false">INDEX(Products!$B$2:$B$9,MATCH(D313,Products!$A$2:$A$9,0))</f>
        <v>Hot Espresso</v>
      </c>
      <c r="F313" s="17" t="n">
        <f aca="false">INDEX(Products!$C$2:$C$9,MATCH(D313,Products!$A$2:$A$9,0))</f>
        <v>4.95</v>
      </c>
      <c r="G313" s="18" t="n">
        <v>62</v>
      </c>
      <c r="H313" s="17" t="n">
        <f aca="false">F313*G313</f>
        <v>306.9</v>
      </c>
    </row>
    <row r="314" customFormat="false" ht="15" hidden="false" customHeight="false" outlineLevel="0" collapsed="false">
      <c r="A314" s="15" t="n">
        <v>45912</v>
      </c>
      <c r="B314" s="16" t="str">
        <f aca="false">TEXT(A314,"ddd")</f>
        <v>Fri</v>
      </c>
      <c r="C314" s="16" t="str">
        <f aca="false">TEXT(A314,"mmm")</f>
        <v>Sep</v>
      </c>
      <c r="D314" s="16" t="s">
        <v>30</v>
      </c>
      <c r="E314" s="16" t="str">
        <f aca="false">INDEX(Products!$B$2:$B$9,MATCH(D314,Products!$A$2:$A$9,0))</f>
        <v>Hot Espresso</v>
      </c>
      <c r="F314" s="17" t="n">
        <f aca="false">INDEX(Products!$C$2:$C$9,MATCH(D314,Products!$A$2:$A$9,0))</f>
        <v>4.75</v>
      </c>
      <c r="G314" s="18" t="n">
        <v>48</v>
      </c>
      <c r="H314" s="17" t="n">
        <f aca="false">F314*G314</f>
        <v>228</v>
      </c>
    </row>
    <row r="315" customFormat="false" ht="15" hidden="false" customHeight="false" outlineLevel="0" collapsed="false">
      <c r="A315" s="15" t="n">
        <v>45912</v>
      </c>
      <c r="B315" s="16" t="str">
        <f aca="false">TEXT(A315,"ddd")</f>
        <v>Fri</v>
      </c>
      <c r="C315" s="16" t="str">
        <f aca="false">TEXT(A315,"mmm")</f>
        <v>Sep</v>
      </c>
      <c r="D315" s="16" t="s">
        <v>31</v>
      </c>
      <c r="E315" s="16" t="str">
        <f aca="false">INDEX(Products!$B$2:$B$9,MATCH(D315,Products!$A$2:$A$9,0))</f>
        <v>Hot Espresso</v>
      </c>
      <c r="F315" s="17" t="n">
        <f aca="false">INDEX(Products!$C$2:$C$9,MATCH(D315,Products!$A$2:$A$9,0))</f>
        <v>5.45</v>
      </c>
      <c r="G315" s="18" t="n">
        <v>44</v>
      </c>
      <c r="H315" s="17" t="n">
        <f aca="false">F315*G315</f>
        <v>239.8</v>
      </c>
    </row>
    <row r="316" customFormat="false" ht="15" hidden="false" customHeight="false" outlineLevel="0" collapsed="false">
      <c r="A316" s="15" t="n">
        <v>45912</v>
      </c>
      <c r="B316" s="16" t="str">
        <f aca="false">TEXT(A316,"ddd")</f>
        <v>Fri</v>
      </c>
      <c r="C316" s="16" t="str">
        <f aca="false">TEXT(A316,"mmm")</f>
        <v>Sep</v>
      </c>
      <c r="D316" s="16" t="s">
        <v>32</v>
      </c>
      <c r="E316" s="16" t="str">
        <f aca="false">INDEX(Products!$B$2:$B$9,MATCH(D316,Products!$A$2:$A$9,0))</f>
        <v>Hot Espresso</v>
      </c>
      <c r="F316" s="17" t="n">
        <f aca="false">INDEX(Products!$C$2:$C$9,MATCH(D316,Products!$A$2:$A$9,0))</f>
        <v>3.75</v>
      </c>
      <c r="G316" s="18" t="n">
        <v>31</v>
      </c>
      <c r="H316" s="17" t="n">
        <f aca="false">F316*G316</f>
        <v>116.25</v>
      </c>
    </row>
    <row r="317" customFormat="false" ht="15" hidden="false" customHeight="false" outlineLevel="0" collapsed="false">
      <c r="A317" s="15" t="n">
        <v>45912</v>
      </c>
      <c r="B317" s="16" t="str">
        <f aca="false">TEXT(A317,"ddd")</f>
        <v>Fri</v>
      </c>
      <c r="C317" s="16" t="str">
        <f aca="false">TEXT(A317,"mmm")</f>
        <v>Sep</v>
      </c>
      <c r="D317" s="16" t="s">
        <v>33</v>
      </c>
      <c r="E317" s="16" t="str">
        <f aca="false">INDEX(Products!$B$2:$B$9,MATCH(D317,Products!$A$2:$A$9,0))</f>
        <v>Hot Espresso</v>
      </c>
      <c r="F317" s="17" t="n">
        <f aca="false">INDEX(Products!$C$2:$C$9,MATCH(D317,Products!$A$2:$A$9,0))</f>
        <v>5.25</v>
      </c>
      <c r="G317" s="18" t="n">
        <v>29</v>
      </c>
      <c r="H317" s="17" t="n">
        <f aca="false">F317*G317</f>
        <v>152.25</v>
      </c>
    </row>
    <row r="318" customFormat="false" ht="15" hidden="false" customHeight="false" outlineLevel="0" collapsed="false">
      <c r="A318" s="15" t="n">
        <v>45912</v>
      </c>
      <c r="B318" s="16" t="str">
        <f aca="false">TEXT(A318,"ddd")</f>
        <v>Fri</v>
      </c>
      <c r="C318" s="16" t="str">
        <f aca="false">TEXT(A318,"mmm")</f>
        <v>Sep</v>
      </c>
      <c r="D318" s="16" t="s">
        <v>34</v>
      </c>
      <c r="E318" s="16" t="str">
        <f aca="false">INDEX(Products!$B$2:$B$9,MATCH(D318,Products!$A$2:$A$9,0))</f>
        <v>Seasonal</v>
      </c>
      <c r="F318" s="17" t="n">
        <f aca="false">INDEX(Products!$C$2:$C$9,MATCH(D318,Products!$A$2:$A$9,0))</f>
        <v>5.75</v>
      </c>
      <c r="G318" s="18" t="n">
        <v>66</v>
      </c>
      <c r="H318" s="17" t="n">
        <f aca="false">F318*G318</f>
        <v>379.5</v>
      </c>
    </row>
    <row r="319" customFormat="false" ht="15" hidden="false" customHeight="false" outlineLevel="0" collapsed="false">
      <c r="A319" s="15" t="n">
        <v>45912</v>
      </c>
      <c r="B319" s="16" t="str">
        <f aca="false">TEXT(A319,"ddd")</f>
        <v>Fri</v>
      </c>
      <c r="C319" s="16" t="str">
        <f aca="false">TEXT(A319,"mmm")</f>
        <v>Sep</v>
      </c>
      <c r="D319" s="16" t="s">
        <v>36</v>
      </c>
      <c r="E319" s="16" t="str">
        <f aca="false">INDEX(Products!$B$2:$B$9,MATCH(D319,Products!$A$2:$A$9,0))</f>
        <v>Cold Drinks</v>
      </c>
      <c r="F319" s="17" t="n">
        <f aca="false">INDEX(Products!$C$2:$C$9,MATCH(D319,Products!$A$2:$A$9,0))</f>
        <v>3.95</v>
      </c>
      <c r="G319" s="18" t="n">
        <v>61</v>
      </c>
      <c r="H319" s="17" t="n">
        <f aca="false">F319*G319</f>
        <v>240.95</v>
      </c>
    </row>
    <row r="320" customFormat="false" ht="15" hidden="false" customHeight="false" outlineLevel="0" collapsed="false">
      <c r="A320" s="15" t="n">
        <v>45912</v>
      </c>
      <c r="B320" s="16" t="str">
        <f aca="false">TEXT(A320,"ddd")</f>
        <v>Fri</v>
      </c>
      <c r="C320" s="16" t="str">
        <f aca="false">TEXT(A320,"mmm")</f>
        <v>Sep</v>
      </c>
      <c r="D320" s="16" t="s">
        <v>38</v>
      </c>
      <c r="E320" s="16" t="str">
        <f aca="false">INDEX(Products!$B$2:$B$9,MATCH(D320,Products!$A$2:$A$9,0))</f>
        <v>Cold Drinks</v>
      </c>
      <c r="F320" s="17" t="n">
        <f aca="false">INDEX(Products!$C$2:$C$9,MATCH(D320,Products!$A$2:$A$9,0))</f>
        <v>4.45</v>
      </c>
      <c r="G320" s="18" t="n">
        <v>48</v>
      </c>
      <c r="H320" s="17" t="n">
        <f aca="false">F320*G320</f>
        <v>213.6</v>
      </c>
    </row>
    <row r="321" customFormat="false" ht="15" hidden="false" customHeight="false" outlineLevel="0" collapsed="false">
      <c r="A321" s="15" t="n">
        <v>45913</v>
      </c>
      <c r="B321" s="16" t="str">
        <f aca="false">TEXT(A321,"ddd")</f>
        <v>Sat</v>
      </c>
      <c r="C321" s="16" t="str">
        <f aca="false">TEXT(A321,"mmm")</f>
        <v>Sep</v>
      </c>
      <c r="D321" s="16" t="s">
        <v>28</v>
      </c>
      <c r="E321" s="16" t="str">
        <f aca="false">INDEX(Products!$B$2:$B$9,MATCH(D321,Products!$A$2:$A$9,0))</f>
        <v>Hot Espresso</v>
      </c>
      <c r="F321" s="17" t="n">
        <f aca="false">INDEX(Products!$C$2:$C$9,MATCH(D321,Products!$A$2:$A$9,0))</f>
        <v>4.95</v>
      </c>
      <c r="G321" s="18" t="n">
        <v>88</v>
      </c>
      <c r="H321" s="17" t="n">
        <f aca="false">F321*G321</f>
        <v>435.6</v>
      </c>
    </row>
    <row r="322" customFormat="false" ht="15" hidden="false" customHeight="false" outlineLevel="0" collapsed="false">
      <c r="A322" s="15" t="n">
        <v>45913</v>
      </c>
      <c r="B322" s="16" t="str">
        <f aca="false">TEXT(A322,"ddd")</f>
        <v>Sat</v>
      </c>
      <c r="C322" s="16" t="str">
        <f aca="false">TEXT(A322,"mmm")</f>
        <v>Sep</v>
      </c>
      <c r="D322" s="16" t="s">
        <v>30</v>
      </c>
      <c r="E322" s="16" t="str">
        <f aca="false">INDEX(Products!$B$2:$B$9,MATCH(D322,Products!$A$2:$A$9,0))</f>
        <v>Hot Espresso</v>
      </c>
      <c r="F322" s="17" t="n">
        <f aca="false">INDEX(Products!$C$2:$C$9,MATCH(D322,Products!$A$2:$A$9,0))</f>
        <v>4.75</v>
      </c>
      <c r="G322" s="18" t="n">
        <v>65</v>
      </c>
      <c r="H322" s="17" t="n">
        <f aca="false">F322*G322</f>
        <v>308.75</v>
      </c>
    </row>
    <row r="323" customFormat="false" ht="15" hidden="false" customHeight="false" outlineLevel="0" collapsed="false">
      <c r="A323" s="15" t="n">
        <v>45913</v>
      </c>
      <c r="B323" s="16" t="str">
        <f aca="false">TEXT(A323,"ddd")</f>
        <v>Sat</v>
      </c>
      <c r="C323" s="16" t="str">
        <f aca="false">TEXT(A323,"mmm")</f>
        <v>Sep</v>
      </c>
      <c r="D323" s="16" t="s">
        <v>31</v>
      </c>
      <c r="E323" s="16" t="str">
        <f aca="false">INDEX(Products!$B$2:$B$9,MATCH(D323,Products!$A$2:$A$9,0))</f>
        <v>Hot Espresso</v>
      </c>
      <c r="F323" s="17" t="n">
        <f aca="false">INDEX(Products!$C$2:$C$9,MATCH(D323,Products!$A$2:$A$9,0))</f>
        <v>5.45</v>
      </c>
      <c r="G323" s="18" t="n">
        <v>42</v>
      </c>
      <c r="H323" s="17" t="n">
        <f aca="false">F323*G323</f>
        <v>228.9</v>
      </c>
    </row>
    <row r="324" customFormat="false" ht="15" hidden="false" customHeight="false" outlineLevel="0" collapsed="false">
      <c r="A324" s="15" t="n">
        <v>45913</v>
      </c>
      <c r="B324" s="16" t="str">
        <f aca="false">TEXT(A324,"ddd")</f>
        <v>Sat</v>
      </c>
      <c r="C324" s="16" t="str">
        <f aca="false">TEXT(A324,"mmm")</f>
        <v>Sep</v>
      </c>
      <c r="D324" s="16" t="s">
        <v>32</v>
      </c>
      <c r="E324" s="16" t="str">
        <f aca="false">INDEX(Products!$B$2:$B$9,MATCH(D324,Products!$A$2:$A$9,0))</f>
        <v>Hot Espresso</v>
      </c>
      <c r="F324" s="17" t="n">
        <f aca="false">INDEX(Products!$C$2:$C$9,MATCH(D324,Products!$A$2:$A$9,0))</f>
        <v>3.75</v>
      </c>
      <c r="G324" s="18" t="n">
        <v>38</v>
      </c>
      <c r="H324" s="17" t="n">
        <f aca="false">F324*G324</f>
        <v>142.5</v>
      </c>
    </row>
    <row r="325" customFormat="false" ht="15" hidden="false" customHeight="false" outlineLevel="0" collapsed="false">
      <c r="A325" s="15" t="n">
        <v>45913</v>
      </c>
      <c r="B325" s="16" t="str">
        <f aca="false">TEXT(A325,"ddd")</f>
        <v>Sat</v>
      </c>
      <c r="C325" s="16" t="str">
        <f aca="false">TEXT(A325,"mmm")</f>
        <v>Sep</v>
      </c>
      <c r="D325" s="16" t="s">
        <v>33</v>
      </c>
      <c r="E325" s="16" t="str">
        <f aca="false">INDEX(Products!$B$2:$B$9,MATCH(D325,Products!$A$2:$A$9,0))</f>
        <v>Hot Espresso</v>
      </c>
      <c r="F325" s="17" t="n">
        <f aca="false">INDEX(Products!$C$2:$C$9,MATCH(D325,Products!$A$2:$A$9,0))</f>
        <v>5.25</v>
      </c>
      <c r="G325" s="18" t="n">
        <v>34</v>
      </c>
      <c r="H325" s="17" t="n">
        <f aca="false">F325*G325</f>
        <v>178.5</v>
      </c>
    </row>
    <row r="326" customFormat="false" ht="15" hidden="false" customHeight="false" outlineLevel="0" collapsed="false">
      <c r="A326" s="15" t="n">
        <v>45913</v>
      </c>
      <c r="B326" s="16" t="str">
        <f aca="false">TEXT(A326,"ddd")</f>
        <v>Sat</v>
      </c>
      <c r="C326" s="16" t="str">
        <f aca="false">TEXT(A326,"mmm")</f>
        <v>Sep</v>
      </c>
      <c r="D326" s="16" t="s">
        <v>34</v>
      </c>
      <c r="E326" s="16" t="str">
        <f aca="false">INDEX(Products!$B$2:$B$9,MATCH(D326,Products!$A$2:$A$9,0))</f>
        <v>Seasonal</v>
      </c>
      <c r="F326" s="17" t="n">
        <f aca="false">INDEX(Products!$C$2:$C$9,MATCH(D326,Products!$A$2:$A$9,0))</f>
        <v>5.75</v>
      </c>
      <c r="G326" s="18" t="n">
        <v>98</v>
      </c>
      <c r="H326" s="17" t="n">
        <f aca="false">F326*G326</f>
        <v>563.5</v>
      </c>
    </row>
    <row r="327" customFormat="false" ht="15" hidden="false" customHeight="false" outlineLevel="0" collapsed="false">
      <c r="A327" s="15" t="n">
        <v>45913</v>
      </c>
      <c r="B327" s="16" t="str">
        <f aca="false">TEXT(A327,"ddd")</f>
        <v>Sat</v>
      </c>
      <c r="C327" s="16" t="str">
        <f aca="false">TEXT(A327,"mmm")</f>
        <v>Sep</v>
      </c>
      <c r="D327" s="16" t="s">
        <v>36</v>
      </c>
      <c r="E327" s="16" t="str">
        <f aca="false">INDEX(Products!$B$2:$B$9,MATCH(D327,Products!$A$2:$A$9,0))</f>
        <v>Cold Drinks</v>
      </c>
      <c r="F327" s="17" t="n">
        <f aca="false">INDEX(Products!$C$2:$C$9,MATCH(D327,Products!$A$2:$A$9,0))</f>
        <v>3.95</v>
      </c>
      <c r="G327" s="18" t="n">
        <v>69</v>
      </c>
      <c r="H327" s="17" t="n">
        <f aca="false">F327*G327</f>
        <v>272.55</v>
      </c>
    </row>
    <row r="328" customFormat="false" ht="15" hidden="false" customHeight="false" outlineLevel="0" collapsed="false">
      <c r="A328" s="15" t="n">
        <v>45913</v>
      </c>
      <c r="B328" s="16" t="str">
        <f aca="false">TEXT(A328,"ddd")</f>
        <v>Sat</v>
      </c>
      <c r="C328" s="16" t="str">
        <f aca="false">TEXT(A328,"mmm")</f>
        <v>Sep</v>
      </c>
      <c r="D328" s="16" t="s">
        <v>38</v>
      </c>
      <c r="E328" s="16" t="str">
        <f aca="false">INDEX(Products!$B$2:$B$9,MATCH(D328,Products!$A$2:$A$9,0))</f>
        <v>Cold Drinks</v>
      </c>
      <c r="F328" s="17" t="n">
        <f aca="false">INDEX(Products!$C$2:$C$9,MATCH(D328,Products!$A$2:$A$9,0))</f>
        <v>4.45</v>
      </c>
      <c r="G328" s="18" t="n">
        <v>47</v>
      </c>
      <c r="H328" s="17" t="n">
        <f aca="false">F328*G328</f>
        <v>209.15</v>
      </c>
    </row>
    <row r="329" customFormat="false" ht="15" hidden="false" customHeight="false" outlineLevel="0" collapsed="false">
      <c r="A329" s="15" t="n">
        <v>45914</v>
      </c>
      <c r="B329" s="16" t="str">
        <f aca="false">TEXT(A329,"ddd")</f>
        <v>Sun</v>
      </c>
      <c r="C329" s="16" t="str">
        <f aca="false">TEXT(A329,"mmm")</f>
        <v>Sep</v>
      </c>
      <c r="D329" s="16" t="s">
        <v>28</v>
      </c>
      <c r="E329" s="16" t="str">
        <f aca="false">INDEX(Products!$B$2:$B$9,MATCH(D329,Products!$A$2:$A$9,0))</f>
        <v>Hot Espresso</v>
      </c>
      <c r="F329" s="17" t="n">
        <f aca="false">INDEX(Products!$C$2:$C$9,MATCH(D329,Products!$A$2:$A$9,0))</f>
        <v>4.95</v>
      </c>
      <c r="G329" s="18" t="n">
        <v>83</v>
      </c>
      <c r="H329" s="17" t="n">
        <f aca="false">F329*G329</f>
        <v>410.85</v>
      </c>
    </row>
    <row r="330" customFormat="false" ht="15" hidden="false" customHeight="false" outlineLevel="0" collapsed="false">
      <c r="A330" s="15" t="n">
        <v>45914</v>
      </c>
      <c r="B330" s="16" t="str">
        <f aca="false">TEXT(A330,"ddd")</f>
        <v>Sun</v>
      </c>
      <c r="C330" s="16" t="str">
        <f aca="false">TEXT(A330,"mmm")</f>
        <v>Sep</v>
      </c>
      <c r="D330" s="16" t="s">
        <v>30</v>
      </c>
      <c r="E330" s="16" t="str">
        <f aca="false">INDEX(Products!$B$2:$B$9,MATCH(D330,Products!$A$2:$A$9,0))</f>
        <v>Hot Espresso</v>
      </c>
      <c r="F330" s="17" t="n">
        <f aca="false">INDEX(Products!$C$2:$C$9,MATCH(D330,Products!$A$2:$A$9,0))</f>
        <v>4.75</v>
      </c>
      <c r="G330" s="18" t="n">
        <v>56</v>
      </c>
      <c r="H330" s="17" t="n">
        <f aca="false">F330*G330</f>
        <v>266</v>
      </c>
    </row>
    <row r="331" customFormat="false" ht="15" hidden="false" customHeight="false" outlineLevel="0" collapsed="false">
      <c r="A331" s="15" t="n">
        <v>45914</v>
      </c>
      <c r="B331" s="16" t="str">
        <f aca="false">TEXT(A331,"ddd")</f>
        <v>Sun</v>
      </c>
      <c r="C331" s="16" t="str">
        <f aca="false">TEXT(A331,"mmm")</f>
        <v>Sep</v>
      </c>
      <c r="D331" s="16" t="s">
        <v>31</v>
      </c>
      <c r="E331" s="16" t="str">
        <f aca="false">INDEX(Products!$B$2:$B$9,MATCH(D331,Products!$A$2:$A$9,0))</f>
        <v>Hot Espresso</v>
      </c>
      <c r="F331" s="17" t="n">
        <f aca="false">INDEX(Products!$C$2:$C$9,MATCH(D331,Products!$A$2:$A$9,0))</f>
        <v>5.45</v>
      </c>
      <c r="G331" s="18" t="n">
        <v>40</v>
      </c>
      <c r="H331" s="17" t="n">
        <f aca="false">F331*G331</f>
        <v>218</v>
      </c>
    </row>
    <row r="332" customFormat="false" ht="15" hidden="false" customHeight="false" outlineLevel="0" collapsed="false">
      <c r="A332" s="15" t="n">
        <v>45914</v>
      </c>
      <c r="B332" s="16" t="str">
        <f aca="false">TEXT(A332,"ddd")</f>
        <v>Sun</v>
      </c>
      <c r="C332" s="16" t="str">
        <f aca="false">TEXT(A332,"mmm")</f>
        <v>Sep</v>
      </c>
      <c r="D332" s="16" t="s">
        <v>32</v>
      </c>
      <c r="E332" s="16" t="str">
        <f aca="false">INDEX(Products!$B$2:$B$9,MATCH(D332,Products!$A$2:$A$9,0))</f>
        <v>Hot Espresso</v>
      </c>
      <c r="F332" s="17" t="n">
        <f aca="false">INDEX(Products!$C$2:$C$9,MATCH(D332,Products!$A$2:$A$9,0))</f>
        <v>3.75</v>
      </c>
      <c r="G332" s="18" t="n">
        <v>34</v>
      </c>
      <c r="H332" s="17" t="n">
        <f aca="false">F332*G332</f>
        <v>127.5</v>
      </c>
    </row>
    <row r="333" customFormat="false" ht="15" hidden="false" customHeight="false" outlineLevel="0" collapsed="false">
      <c r="A333" s="15" t="n">
        <v>45914</v>
      </c>
      <c r="B333" s="16" t="str">
        <f aca="false">TEXT(A333,"ddd")</f>
        <v>Sun</v>
      </c>
      <c r="C333" s="16" t="str">
        <f aca="false">TEXT(A333,"mmm")</f>
        <v>Sep</v>
      </c>
      <c r="D333" s="16" t="s">
        <v>33</v>
      </c>
      <c r="E333" s="16" t="str">
        <f aca="false">INDEX(Products!$B$2:$B$9,MATCH(D333,Products!$A$2:$A$9,0))</f>
        <v>Hot Espresso</v>
      </c>
      <c r="F333" s="17" t="n">
        <f aca="false">INDEX(Products!$C$2:$C$9,MATCH(D333,Products!$A$2:$A$9,0))</f>
        <v>5.25</v>
      </c>
      <c r="G333" s="18" t="n">
        <v>36</v>
      </c>
      <c r="H333" s="17" t="n">
        <f aca="false">F333*G333</f>
        <v>189</v>
      </c>
    </row>
    <row r="334" customFormat="false" ht="15" hidden="false" customHeight="false" outlineLevel="0" collapsed="false">
      <c r="A334" s="15" t="n">
        <v>45914</v>
      </c>
      <c r="B334" s="16" t="str">
        <f aca="false">TEXT(A334,"ddd")</f>
        <v>Sun</v>
      </c>
      <c r="C334" s="16" t="str">
        <f aca="false">TEXT(A334,"mmm")</f>
        <v>Sep</v>
      </c>
      <c r="D334" s="16" t="s">
        <v>34</v>
      </c>
      <c r="E334" s="16" t="str">
        <f aca="false">INDEX(Products!$B$2:$B$9,MATCH(D334,Products!$A$2:$A$9,0))</f>
        <v>Seasonal</v>
      </c>
      <c r="F334" s="17" t="n">
        <f aca="false">INDEX(Products!$C$2:$C$9,MATCH(D334,Products!$A$2:$A$9,0))</f>
        <v>5.75</v>
      </c>
      <c r="G334" s="18" t="n">
        <v>82</v>
      </c>
      <c r="H334" s="17" t="n">
        <f aca="false">F334*G334</f>
        <v>471.5</v>
      </c>
    </row>
    <row r="335" customFormat="false" ht="15" hidden="false" customHeight="false" outlineLevel="0" collapsed="false">
      <c r="A335" s="15" t="n">
        <v>45914</v>
      </c>
      <c r="B335" s="16" t="str">
        <f aca="false">TEXT(A335,"ddd")</f>
        <v>Sun</v>
      </c>
      <c r="C335" s="16" t="str">
        <f aca="false">TEXT(A335,"mmm")</f>
        <v>Sep</v>
      </c>
      <c r="D335" s="16" t="s">
        <v>36</v>
      </c>
      <c r="E335" s="16" t="str">
        <f aca="false">INDEX(Products!$B$2:$B$9,MATCH(D335,Products!$A$2:$A$9,0))</f>
        <v>Cold Drinks</v>
      </c>
      <c r="F335" s="17" t="n">
        <f aca="false">INDEX(Products!$C$2:$C$9,MATCH(D335,Products!$A$2:$A$9,0))</f>
        <v>3.95</v>
      </c>
      <c r="G335" s="18" t="n">
        <v>60</v>
      </c>
      <c r="H335" s="17" t="n">
        <f aca="false">F335*G335</f>
        <v>237</v>
      </c>
    </row>
    <row r="336" customFormat="false" ht="15" hidden="false" customHeight="false" outlineLevel="0" collapsed="false">
      <c r="A336" s="15" t="n">
        <v>45914</v>
      </c>
      <c r="B336" s="16" t="str">
        <f aca="false">TEXT(A336,"ddd")</f>
        <v>Sun</v>
      </c>
      <c r="C336" s="16" t="str">
        <f aca="false">TEXT(A336,"mmm")</f>
        <v>Sep</v>
      </c>
      <c r="D336" s="16" t="s">
        <v>38</v>
      </c>
      <c r="E336" s="16" t="str">
        <f aca="false">INDEX(Products!$B$2:$B$9,MATCH(D336,Products!$A$2:$A$9,0))</f>
        <v>Cold Drinks</v>
      </c>
      <c r="F336" s="17" t="n">
        <f aca="false">INDEX(Products!$C$2:$C$9,MATCH(D336,Products!$A$2:$A$9,0))</f>
        <v>4.45</v>
      </c>
      <c r="G336" s="18" t="n">
        <v>53</v>
      </c>
      <c r="H336" s="17" t="n">
        <f aca="false">F336*G336</f>
        <v>235.85</v>
      </c>
    </row>
    <row r="337" customFormat="false" ht="15" hidden="false" customHeight="false" outlineLevel="0" collapsed="false">
      <c r="A337" s="15" t="n">
        <v>45915</v>
      </c>
      <c r="B337" s="16" t="str">
        <f aca="false">TEXT(A337,"ddd")</f>
        <v>Mon</v>
      </c>
      <c r="C337" s="16" t="str">
        <f aca="false">TEXT(A337,"mmm")</f>
        <v>Sep</v>
      </c>
      <c r="D337" s="16" t="s">
        <v>28</v>
      </c>
      <c r="E337" s="16" t="str">
        <f aca="false">INDEX(Products!$B$2:$B$9,MATCH(D337,Products!$A$2:$A$9,0))</f>
        <v>Hot Espresso</v>
      </c>
      <c r="F337" s="17" t="n">
        <f aca="false">INDEX(Products!$C$2:$C$9,MATCH(D337,Products!$A$2:$A$9,0))</f>
        <v>4.95</v>
      </c>
      <c r="G337" s="18" t="n">
        <v>58</v>
      </c>
      <c r="H337" s="17" t="n">
        <f aca="false">F337*G337</f>
        <v>287.1</v>
      </c>
    </row>
    <row r="338" customFormat="false" ht="15" hidden="false" customHeight="false" outlineLevel="0" collapsed="false">
      <c r="A338" s="15" t="n">
        <v>45915</v>
      </c>
      <c r="B338" s="16" t="str">
        <f aca="false">TEXT(A338,"ddd")</f>
        <v>Mon</v>
      </c>
      <c r="C338" s="16" t="str">
        <f aca="false">TEXT(A338,"mmm")</f>
        <v>Sep</v>
      </c>
      <c r="D338" s="16" t="s">
        <v>30</v>
      </c>
      <c r="E338" s="16" t="str">
        <f aca="false">INDEX(Products!$B$2:$B$9,MATCH(D338,Products!$A$2:$A$9,0))</f>
        <v>Hot Espresso</v>
      </c>
      <c r="F338" s="17" t="n">
        <f aca="false">INDEX(Products!$C$2:$C$9,MATCH(D338,Products!$A$2:$A$9,0))</f>
        <v>4.75</v>
      </c>
      <c r="G338" s="18" t="n">
        <v>49</v>
      </c>
      <c r="H338" s="17" t="n">
        <f aca="false">F338*G338</f>
        <v>232.75</v>
      </c>
    </row>
    <row r="339" customFormat="false" ht="15" hidden="false" customHeight="false" outlineLevel="0" collapsed="false">
      <c r="A339" s="15" t="n">
        <v>45915</v>
      </c>
      <c r="B339" s="16" t="str">
        <f aca="false">TEXT(A339,"ddd")</f>
        <v>Mon</v>
      </c>
      <c r="C339" s="16" t="str">
        <f aca="false">TEXT(A339,"mmm")</f>
        <v>Sep</v>
      </c>
      <c r="D339" s="16" t="s">
        <v>31</v>
      </c>
      <c r="E339" s="16" t="str">
        <f aca="false">INDEX(Products!$B$2:$B$9,MATCH(D339,Products!$A$2:$A$9,0))</f>
        <v>Hot Espresso</v>
      </c>
      <c r="F339" s="17" t="n">
        <f aca="false">INDEX(Products!$C$2:$C$9,MATCH(D339,Products!$A$2:$A$9,0))</f>
        <v>5.45</v>
      </c>
      <c r="G339" s="18" t="n">
        <v>49</v>
      </c>
      <c r="H339" s="17" t="n">
        <f aca="false">F339*G339</f>
        <v>267.05</v>
      </c>
    </row>
    <row r="340" customFormat="false" ht="15" hidden="false" customHeight="false" outlineLevel="0" collapsed="false">
      <c r="A340" s="15" t="n">
        <v>45915</v>
      </c>
      <c r="B340" s="16" t="str">
        <f aca="false">TEXT(A340,"ddd")</f>
        <v>Mon</v>
      </c>
      <c r="C340" s="16" t="str">
        <f aca="false">TEXT(A340,"mmm")</f>
        <v>Sep</v>
      </c>
      <c r="D340" s="16" t="s">
        <v>32</v>
      </c>
      <c r="E340" s="16" t="str">
        <f aca="false">INDEX(Products!$B$2:$B$9,MATCH(D340,Products!$A$2:$A$9,0))</f>
        <v>Hot Espresso</v>
      </c>
      <c r="F340" s="17" t="n">
        <f aca="false">INDEX(Products!$C$2:$C$9,MATCH(D340,Products!$A$2:$A$9,0))</f>
        <v>3.75</v>
      </c>
      <c r="G340" s="18" t="n">
        <v>28</v>
      </c>
      <c r="H340" s="17" t="n">
        <f aca="false">F340*G340</f>
        <v>105</v>
      </c>
    </row>
    <row r="341" customFormat="false" ht="15" hidden="false" customHeight="false" outlineLevel="0" collapsed="false">
      <c r="A341" s="15" t="n">
        <v>45915</v>
      </c>
      <c r="B341" s="16" t="str">
        <f aca="false">TEXT(A341,"ddd")</f>
        <v>Mon</v>
      </c>
      <c r="C341" s="16" t="str">
        <f aca="false">TEXT(A341,"mmm")</f>
        <v>Sep</v>
      </c>
      <c r="D341" s="16" t="s">
        <v>33</v>
      </c>
      <c r="E341" s="16" t="str">
        <f aca="false">INDEX(Products!$B$2:$B$9,MATCH(D341,Products!$A$2:$A$9,0))</f>
        <v>Hot Espresso</v>
      </c>
      <c r="F341" s="17" t="n">
        <f aca="false">INDEX(Products!$C$2:$C$9,MATCH(D341,Products!$A$2:$A$9,0))</f>
        <v>5.25</v>
      </c>
      <c r="G341" s="18" t="n">
        <v>35</v>
      </c>
      <c r="H341" s="17" t="n">
        <f aca="false">F341*G341</f>
        <v>183.75</v>
      </c>
    </row>
    <row r="342" customFormat="false" ht="15" hidden="false" customHeight="false" outlineLevel="0" collapsed="false">
      <c r="A342" s="15" t="n">
        <v>45915</v>
      </c>
      <c r="B342" s="16" t="str">
        <f aca="false">TEXT(A342,"ddd")</f>
        <v>Mon</v>
      </c>
      <c r="C342" s="16" t="str">
        <f aca="false">TEXT(A342,"mmm")</f>
        <v>Sep</v>
      </c>
      <c r="D342" s="16" t="s">
        <v>34</v>
      </c>
      <c r="E342" s="16" t="str">
        <f aca="false">INDEX(Products!$B$2:$B$9,MATCH(D342,Products!$A$2:$A$9,0))</f>
        <v>Seasonal</v>
      </c>
      <c r="F342" s="17" t="n">
        <f aca="false">INDEX(Products!$C$2:$C$9,MATCH(D342,Products!$A$2:$A$9,0))</f>
        <v>5.75</v>
      </c>
      <c r="G342" s="18" t="n">
        <v>75</v>
      </c>
      <c r="H342" s="17" t="n">
        <f aca="false">F342*G342</f>
        <v>431.25</v>
      </c>
    </row>
    <row r="343" customFormat="false" ht="15" hidden="false" customHeight="false" outlineLevel="0" collapsed="false">
      <c r="A343" s="15" t="n">
        <v>45915</v>
      </c>
      <c r="B343" s="16" t="str">
        <f aca="false">TEXT(A343,"ddd")</f>
        <v>Mon</v>
      </c>
      <c r="C343" s="16" t="str">
        <f aca="false">TEXT(A343,"mmm")</f>
        <v>Sep</v>
      </c>
      <c r="D343" s="16" t="s">
        <v>36</v>
      </c>
      <c r="E343" s="16" t="str">
        <f aca="false">INDEX(Products!$B$2:$B$9,MATCH(D343,Products!$A$2:$A$9,0))</f>
        <v>Cold Drinks</v>
      </c>
      <c r="F343" s="17" t="n">
        <f aca="false">INDEX(Products!$C$2:$C$9,MATCH(D343,Products!$A$2:$A$9,0))</f>
        <v>3.95</v>
      </c>
      <c r="G343" s="18" t="n">
        <v>54</v>
      </c>
      <c r="H343" s="17" t="n">
        <f aca="false">F343*G343</f>
        <v>213.3</v>
      </c>
    </row>
    <row r="344" customFormat="false" ht="15" hidden="false" customHeight="false" outlineLevel="0" collapsed="false">
      <c r="A344" s="15" t="n">
        <v>45915</v>
      </c>
      <c r="B344" s="16" t="str">
        <f aca="false">TEXT(A344,"ddd")</f>
        <v>Mon</v>
      </c>
      <c r="C344" s="16" t="str">
        <f aca="false">TEXT(A344,"mmm")</f>
        <v>Sep</v>
      </c>
      <c r="D344" s="16" t="s">
        <v>38</v>
      </c>
      <c r="E344" s="16" t="str">
        <f aca="false">INDEX(Products!$B$2:$B$9,MATCH(D344,Products!$A$2:$A$9,0))</f>
        <v>Cold Drinks</v>
      </c>
      <c r="F344" s="17" t="n">
        <f aca="false">INDEX(Products!$C$2:$C$9,MATCH(D344,Products!$A$2:$A$9,0))</f>
        <v>4.45</v>
      </c>
      <c r="G344" s="18" t="n">
        <v>45</v>
      </c>
      <c r="H344" s="17" t="n">
        <f aca="false">F344*G344</f>
        <v>200.25</v>
      </c>
    </row>
    <row r="345" customFormat="false" ht="15" hidden="false" customHeight="false" outlineLevel="0" collapsed="false">
      <c r="A345" s="15" t="n">
        <v>45916</v>
      </c>
      <c r="B345" s="16" t="str">
        <f aca="false">TEXT(A345,"ddd")</f>
        <v>Tue</v>
      </c>
      <c r="C345" s="16" t="str">
        <f aca="false">TEXT(A345,"mmm")</f>
        <v>Sep</v>
      </c>
      <c r="D345" s="16" t="s">
        <v>28</v>
      </c>
      <c r="E345" s="16" t="str">
        <f aca="false">INDEX(Products!$B$2:$B$9,MATCH(D345,Products!$A$2:$A$9,0))</f>
        <v>Hot Espresso</v>
      </c>
      <c r="F345" s="17" t="n">
        <f aca="false">INDEX(Products!$C$2:$C$9,MATCH(D345,Products!$A$2:$A$9,0))</f>
        <v>4.95</v>
      </c>
      <c r="G345" s="18" t="n">
        <v>66</v>
      </c>
      <c r="H345" s="17" t="n">
        <f aca="false">F345*G345</f>
        <v>326.7</v>
      </c>
    </row>
    <row r="346" customFormat="false" ht="15" hidden="false" customHeight="false" outlineLevel="0" collapsed="false">
      <c r="A346" s="15" t="n">
        <v>45916</v>
      </c>
      <c r="B346" s="16" t="str">
        <f aca="false">TEXT(A346,"ddd")</f>
        <v>Tue</v>
      </c>
      <c r="C346" s="16" t="str">
        <f aca="false">TEXT(A346,"mmm")</f>
        <v>Sep</v>
      </c>
      <c r="D346" s="16" t="s">
        <v>30</v>
      </c>
      <c r="E346" s="16" t="str">
        <f aca="false">INDEX(Products!$B$2:$B$9,MATCH(D346,Products!$A$2:$A$9,0))</f>
        <v>Hot Espresso</v>
      </c>
      <c r="F346" s="17" t="n">
        <f aca="false">INDEX(Products!$C$2:$C$9,MATCH(D346,Products!$A$2:$A$9,0))</f>
        <v>4.75</v>
      </c>
      <c r="G346" s="18" t="n">
        <v>44</v>
      </c>
      <c r="H346" s="17" t="n">
        <f aca="false">F346*G346</f>
        <v>209</v>
      </c>
    </row>
    <row r="347" customFormat="false" ht="15" hidden="false" customHeight="false" outlineLevel="0" collapsed="false">
      <c r="A347" s="15" t="n">
        <v>45916</v>
      </c>
      <c r="B347" s="16" t="str">
        <f aca="false">TEXT(A347,"ddd")</f>
        <v>Tue</v>
      </c>
      <c r="C347" s="16" t="str">
        <f aca="false">TEXT(A347,"mmm")</f>
        <v>Sep</v>
      </c>
      <c r="D347" s="16" t="s">
        <v>31</v>
      </c>
      <c r="E347" s="16" t="str">
        <f aca="false">INDEX(Products!$B$2:$B$9,MATCH(D347,Products!$A$2:$A$9,0))</f>
        <v>Hot Espresso</v>
      </c>
      <c r="F347" s="17" t="n">
        <f aca="false">INDEX(Products!$C$2:$C$9,MATCH(D347,Products!$A$2:$A$9,0))</f>
        <v>5.45</v>
      </c>
      <c r="G347" s="18" t="n">
        <v>49</v>
      </c>
      <c r="H347" s="17" t="n">
        <f aca="false">F347*G347</f>
        <v>267.05</v>
      </c>
    </row>
    <row r="348" customFormat="false" ht="15" hidden="false" customHeight="false" outlineLevel="0" collapsed="false">
      <c r="A348" s="15" t="n">
        <v>45916</v>
      </c>
      <c r="B348" s="16" t="str">
        <f aca="false">TEXT(A348,"ddd")</f>
        <v>Tue</v>
      </c>
      <c r="C348" s="16" t="str">
        <f aca="false">TEXT(A348,"mmm")</f>
        <v>Sep</v>
      </c>
      <c r="D348" s="16" t="s">
        <v>32</v>
      </c>
      <c r="E348" s="16" t="str">
        <f aca="false">INDEX(Products!$B$2:$B$9,MATCH(D348,Products!$A$2:$A$9,0))</f>
        <v>Hot Espresso</v>
      </c>
      <c r="F348" s="17" t="n">
        <f aca="false">INDEX(Products!$C$2:$C$9,MATCH(D348,Products!$A$2:$A$9,0))</f>
        <v>3.75</v>
      </c>
      <c r="G348" s="18" t="n">
        <v>32</v>
      </c>
      <c r="H348" s="17" t="n">
        <f aca="false">F348*G348</f>
        <v>120</v>
      </c>
    </row>
    <row r="349" customFormat="false" ht="15" hidden="false" customHeight="false" outlineLevel="0" collapsed="false">
      <c r="A349" s="15" t="n">
        <v>45916</v>
      </c>
      <c r="B349" s="16" t="str">
        <f aca="false">TEXT(A349,"ddd")</f>
        <v>Tue</v>
      </c>
      <c r="C349" s="16" t="str">
        <f aca="false">TEXT(A349,"mmm")</f>
        <v>Sep</v>
      </c>
      <c r="D349" s="16" t="s">
        <v>33</v>
      </c>
      <c r="E349" s="16" t="str">
        <f aca="false">INDEX(Products!$B$2:$B$9,MATCH(D349,Products!$A$2:$A$9,0))</f>
        <v>Hot Espresso</v>
      </c>
      <c r="F349" s="17" t="n">
        <f aca="false">INDEX(Products!$C$2:$C$9,MATCH(D349,Products!$A$2:$A$9,0))</f>
        <v>5.25</v>
      </c>
      <c r="G349" s="18" t="n">
        <v>34</v>
      </c>
      <c r="H349" s="17" t="n">
        <f aca="false">F349*G349</f>
        <v>178.5</v>
      </c>
    </row>
    <row r="350" customFormat="false" ht="15" hidden="false" customHeight="false" outlineLevel="0" collapsed="false">
      <c r="A350" s="15" t="n">
        <v>45916</v>
      </c>
      <c r="B350" s="16" t="str">
        <f aca="false">TEXT(A350,"ddd")</f>
        <v>Tue</v>
      </c>
      <c r="C350" s="16" t="str">
        <f aca="false">TEXT(A350,"mmm")</f>
        <v>Sep</v>
      </c>
      <c r="D350" s="16" t="s">
        <v>34</v>
      </c>
      <c r="E350" s="16" t="str">
        <f aca="false">INDEX(Products!$B$2:$B$9,MATCH(D350,Products!$A$2:$A$9,0))</f>
        <v>Seasonal</v>
      </c>
      <c r="F350" s="17" t="n">
        <f aca="false">INDEX(Products!$C$2:$C$9,MATCH(D350,Products!$A$2:$A$9,0))</f>
        <v>5.75</v>
      </c>
      <c r="G350" s="18" t="n">
        <v>70</v>
      </c>
      <c r="H350" s="17" t="n">
        <f aca="false">F350*G350</f>
        <v>402.5</v>
      </c>
    </row>
    <row r="351" customFormat="false" ht="15" hidden="false" customHeight="false" outlineLevel="0" collapsed="false">
      <c r="A351" s="15" t="n">
        <v>45916</v>
      </c>
      <c r="B351" s="16" t="str">
        <f aca="false">TEXT(A351,"ddd")</f>
        <v>Tue</v>
      </c>
      <c r="C351" s="16" t="str">
        <f aca="false">TEXT(A351,"mmm")</f>
        <v>Sep</v>
      </c>
      <c r="D351" s="16" t="s">
        <v>36</v>
      </c>
      <c r="E351" s="16" t="str">
        <f aca="false">INDEX(Products!$B$2:$B$9,MATCH(D351,Products!$A$2:$A$9,0))</f>
        <v>Cold Drinks</v>
      </c>
      <c r="F351" s="17" t="n">
        <f aca="false">INDEX(Products!$C$2:$C$9,MATCH(D351,Products!$A$2:$A$9,0))</f>
        <v>3.95</v>
      </c>
      <c r="G351" s="18" t="n">
        <v>53</v>
      </c>
      <c r="H351" s="17" t="n">
        <f aca="false">F351*G351</f>
        <v>209.35</v>
      </c>
    </row>
    <row r="352" customFormat="false" ht="15" hidden="false" customHeight="false" outlineLevel="0" collapsed="false">
      <c r="A352" s="15" t="n">
        <v>45916</v>
      </c>
      <c r="B352" s="16" t="str">
        <f aca="false">TEXT(A352,"ddd")</f>
        <v>Tue</v>
      </c>
      <c r="C352" s="16" t="str">
        <f aca="false">TEXT(A352,"mmm")</f>
        <v>Sep</v>
      </c>
      <c r="D352" s="16" t="s">
        <v>38</v>
      </c>
      <c r="E352" s="16" t="str">
        <f aca="false">INDEX(Products!$B$2:$B$9,MATCH(D352,Products!$A$2:$A$9,0))</f>
        <v>Cold Drinks</v>
      </c>
      <c r="F352" s="17" t="n">
        <f aca="false">INDEX(Products!$C$2:$C$9,MATCH(D352,Products!$A$2:$A$9,0))</f>
        <v>4.45</v>
      </c>
      <c r="G352" s="18" t="n">
        <v>47</v>
      </c>
      <c r="H352" s="17" t="n">
        <f aca="false">F352*G352</f>
        <v>209.15</v>
      </c>
    </row>
    <row r="353" customFormat="false" ht="15" hidden="false" customHeight="false" outlineLevel="0" collapsed="false">
      <c r="A353" s="15" t="n">
        <v>45917</v>
      </c>
      <c r="B353" s="16" t="str">
        <f aca="false">TEXT(A353,"ddd")</f>
        <v>Wed</v>
      </c>
      <c r="C353" s="16" t="str">
        <f aca="false">TEXT(A353,"mmm")</f>
        <v>Sep</v>
      </c>
      <c r="D353" s="16" t="s">
        <v>28</v>
      </c>
      <c r="E353" s="16" t="str">
        <f aca="false">INDEX(Products!$B$2:$B$9,MATCH(D353,Products!$A$2:$A$9,0))</f>
        <v>Hot Espresso</v>
      </c>
      <c r="F353" s="17" t="n">
        <f aca="false">INDEX(Products!$C$2:$C$9,MATCH(D353,Products!$A$2:$A$9,0))</f>
        <v>4.95</v>
      </c>
      <c r="G353" s="18" t="n">
        <v>65</v>
      </c>
      <c r="H353" s="17" t="n">
        <f aca="false">F353*G353</f>
        <v>321.75</v>
      </c>
    </row>
    <row r="354" customFormat="false" ht="15" hidden="false" customHeight="false" outlineLevel="0" collapsed="false">
      <c r="A354" s="15" t="n">
        <v>45917</v>
      </c>
      <c r="B354" s="16" t="str">
        <f aca="false">TEXT(A354,"ddd")</f>
        <v>Wed</v>
      </c>
      <c r="C354" s="16" t="str">
        <f aca="false">TEXT(A354,"mmm")</f>
        <v>Sep</v>
      </c>
      <c r="D354" s="16" t="s">
        <v>30</v>
      </c>
      <c r="E354" s="16" t="str">
        <f aca="false">INDEX(Products!$B$2:$B$9,MATCH(D354,Products!$A$2:$A$9,0))</f>
        <v>Hot Espresso</v>
      </c>
      <c r="F354" s="17" t="n">
        <f aca="false">INDEX(Products!$C$2:$C$9,MATCH(D354,Products!$A$2:$A$9,0))</f>
        <v>4.75</v>
      </c>
      <c r="G354" s="18" t="n">
        <v>50</v>
      </c>
      <c r="H354" s="17" t="n">
        <f aca="false">F354*G354</f>
        <v>237.5</v>
      </c>
    </row>
    <row r="355" customFormat="false" ht="15" hidden="false" customHeight="false" outlineLevel="0" collapsed="false">
      <c r="A355" s="15" t="n">
        <v>45917</v>
      </c>
      <c r="B355" s="16" t="str">
        <f aca="false">TEXT(A355,"ddd")</f>
        <v>Wed</v>
      </c>
      <c r="C355" s="16" t="str">
        <f aca="false">TEXT(A355,"mmm")</f>
        <v>Sep</v>
      </c>
      <c r="D355" s="16" t="s">
        <v>31</v>
      </c>
      <c r="E355" s="16" t="str">
        <f aca="false">INDEX(Products!$B$2:$B$9,MATCH(D355,Products!$A$2:$A$9,0))</f>
        <v>Hot Espresso</v>
      </c>
      <c r="F355" s="17" t="n">
        <f aca="false">INDEX(Products!$C$2:$C$9,MATCH(D355,Products!$A$2:$A$9,0))</f>
        <v>5.45</v>
      </c>
      <c r="G355" s="18" t="n">
        <v>43</v>
      </c>
      <c r="H355" s="17" t="n">
        <f aca="false">F355*G355</f>
        <v>234.35</v>
      </c>
    </row>
    <row r="356" customFormat="false" ht="15" hidden="false" customHeight="false" outlineLevel="0" collapsed="false">
      <c r="A356" s="15" t="n">
        <v>45917</v>
      </c>
      <c r="B356" s="16" t="str">
        <f aca="false">TEXT(A356,"ddd")</f>
        <v>Wed</v>
      </c>
      <c r="C356" s="16" t="str">
        <f aca="false">TEXT(A356,"mmm")</f>
        <v>Sep</v>
      </c>
      <c r="D356" s="16" t="s">
        <v>32</v>
      </c>
      <c r="E356" s="16" t="str">
        <f aca="false">INDEX(Products!$B$2:$B$9,MATCH(D356,Products!$A$2:$A$9,0))</f>
        <v>Hot Espresso</v>
      </c>
      <c r="F356" s="17" t="n">
        <f aca="false">INDEX(Products!$C$2:$C$9,MATCH(D356,Products!$A$2:$A$9,0))</f>
        <v>3.75</v>
      </c>
      <c r="G356" s="18" t="n">
        <v>31</v>
      </c>
      <c r="H356" s="17" t="n">
        <f aca="false">F356*G356</f>
        <v>116.25</v>
      </c>
    </row>
    <row r="357" customFormat="false" ht="15" hidden="false" customHeight="false" outlineLevel="0" collapsed="false">
      <c r="A357" s="15" t="n">
        <v>45917</v>
      </c>
      <c r="B357" s="16" t="str">
        <f aca="false">TEXT(A357,"ddd")</f>
        <v>Wed</v>
      </c>
      <c r="C357" s="16" t="str">
        <f aca="false">TEXT(A357,"mmm")</f>
        <v>Sep</v>
      </c>
      <c r="D357" s="16" t="s">
        <v>33</v>
      </c>
      <c r="E357" s="16" t="str">
        <f aca="false">INDEX(Products!$B$2:$B$9,MATCH(D357,Products!$A$2:$A$9,0))</f>
        <v>Hot Espresso</v>
      </c>
      <c r="F357" s="17" t="n">
        <f aca="false">INDEX(Products!$C$2:$C$9,MATCH(D357,Products!$A$2:$A$9,0))</f>
        <v>5.25</v>
      </c>
      <c r="G357" s="18" t="n">
        <v>34</v>
      </c>
      <c r="H357" s="17" t="n">
        <f aca="false">F357*G357</f>
        <v>178.5</v>
      </c>
    </row>
    <row r="358" customFormat="false" ht="15" hidden="false" customHeight="false" outlineLevel="0" collapsed="false">
      <c r="A358" s="15" t="n">
        <v>45917</v>
      </c>
      <c r="B358" s="16" t="str">
        <f aca="false">TEXT(A358,"ddd")</f>
        <v>Wed</v>
      </c>
      <c r="C358" s="16" t="str">
        <f aca="false">TEXT(A358,"mmm")</f>
        <v>Sep</v>
      </c>
      <c r="D358" s="16" t="s">
        <v>34</v>
      </c>
      <c r="E358" s="16" t="str">
        <f aca="false">INDEX(Products!$B$2:$B$9,MATCH(D358,Products!$A$2:$A$9,0))</f>
        <v>Seasonal</v>
      </c>
      <c r="F358" s="17" t="n">
        <f aca="false">INDEX(Products!$C$2:$C$9,MATCH(D358,Products!$A$2:$A$9,0))</f>
        <v>5.75</v>
      </c>
      <c r="G358" s="18" t="n">
        <v>79</v>
      </c>
      <c r="H358" s="17" t="n">
        <f aca="false">F358*G358</f>
        <v>454.25</v>
      </c>
    </row>
    <row r="359" customFormat="false" ht="15" hidden="false" customHeight="false" outlineLevel="0" collapsed="false">
      <c r="A359" s="15" t="n">
        <v>45917</v>
      </c>
      <c r="B359" s="16" t="str">
        <f aca="false">TEXT(A359,"ddd")</f>
        <v>Wed</v>
      </c>
      <c r="C359" s="16" t="str">
        <f aca="false">TEXT(A359,"mmm")</f>
        <v>Sep</v>
      </c>
      <c r="D359" s="16" t="s">
        <v>36</v>
      </c>
      <c r="E359" s="16" t="str">
        <f aca="false">INDEX(Products!$B$2:$B$9,MATCH(D359,Products!$A$2:$A$9,0))</f>
        <v>Cold Drinks</v>
      </c>
      <c r="F359" s="17" t="n">
        <f aca="false">INDEX(Products!$C$2:$C$9,MATCH(D359,Products!$A$2:$A$9,0))</f>
        <v>3.95</v>
      </c>
      <c r="G359" s="18" t="n">
        <v>55</v>
      </c>
      <c r="H359" s="17" t="n">
        <f aca="false">F359*G359</f>
        <v>217.25</v>
      </c>
    </row>
    <row r="360" customFormat="false" ht="15" hidden="false" customHeight="false" outlineLevel="0" collapsed="false">
      <c r="A360" s="15" t="n">
        <v>45917</v>
      </c>
      <c r="B360" s="16" t="str">
        <f aca="false">TEXT(A360,"ddd")</f>
        <v>Wed</v>
      </c>
      <c r="C360" s="16" t="str">
        <f aca="false">TEXT(A360,"mmm")</f>
        <v>Sep</v>
      </c>
      <c r="D360" s="16" t="s">
        <v>38</v>
      </c>
      <c r="E360" s="16" t="str">
        <f aca="false">INDEX(Products!$B$2:$B$9,MATCH(D360,Products!$A$2:$A$9,0))</f>
        <v>Cold Drinks</v>
      </c>
      <c r="F360" s="17" t="n">
        <f aca="false">INDEX(Products!$C$2:$C$9,MATCH(D360,Products!$A$2:$A$9,0))</f>
        <v>4.45</v>
      </c>
      <c r="G360" s="18" t="n">
        <v>45</v>
      </c>
      <c r="H360" s="17" t="n">
        <f aca="false">F360*G360</f>
        <v>200.25</v>
      </c>
    </row>
    <row r="361" customFormat="false" ht="15" hidden="false" customHeight="false" outlineLevel="0" collapsed="false">
      <c r="A361" s="15" t="n">
        <v>45918</v>
      </c>
      <c r="B361" s="16" t="str">
        <f aca="false">TEXT(A361,"ddd")</f>
        <v>Thu</v>
      </c>
      <c r="C361" s="16" t="str">
        <f aca="false">TEXT(A361,"mmm")</f>
        <v>Sep</v>
      </c>
      <c r="D361" s="16" t="s">
        <v>28</v>
      </c>
      <c r="E361" s="16" t="str">
        <f aca="false">INDEX(Products!$B$2:$B$9,MATCH(D361,Products!$A$2:$A$9,0))</f>
        <v>Hot Espresso</v>
      </c>
      <c r="F361" s="17" t="n">
        <f aca="false">INDEX(Products!$C$2:$C$9,MATCH(D361,Products!$A$2:$A$9,0))</f>
        <v>4.95</v>
      </c>
      <c r="G361" s="18" t="n">
        <v>69</v>
      </c>
      <c r="H361" s="17" t="n">
        <f aca="false">F361*G361</f>
        <v>341.55</v>
      </c>
    </row>
    <row r="362" customFormat="false" ht="15" hidden="false" customHeight="false" outlineLevel="0" collapsed="false">
      <c r="A362" s="15" t="n">
        <v>45918</v>
      </c>
      <c r="B362" s="16" t="str">
        <f aca="false">TEXT(A362,"ddd")</f>
        <v>Thu</v>
      </c>
      <c r="C362" s="16" t="str">
        <f aca="false">TEXT(A362,"mmm")</f>
        <v>Sep</v>
      </c>
      <c r="D362" s="16" t="s">
        <v>30</v>
      </c>
      <c r="E362" s="16" t="str">
        <f aca="false">INDEX(Products!$B$2:$B$9,MATCH(D362,Products!$A$2:$A$9,0))</f>
        <v>Hot Espresso</v>
      </c>
      <c r="F362" s="17" t="n">
        <f aca="false">INDEX(Products!$C$2:$C$9,MATCH(D362,Products!$A$2:$A$9,0))</f>
        <v>4.75</v>
      </c>
      <c r="G362" s="18" t="n">
        <v>48</v>
      </c>
      <c r="H362" s="17" t="n">
        <f aca="false">F362*G362</f>
        <v>228</v>
      </c>
    </row>
    <row r="363" customFormat="false" ht="15" hidden="false" customHeight="false" outlineLevel="0" collapsed="false">
      <c r="A363" s="15" t="n">
        <v>45918</v>
      </c>
      <c r="B363" s="16" t="str">
        <f aca="false">TEXT(A363,"ddd")</f>
        <v>Thu</v>
      </c>
      <c r="C363" s="16" t="str">
        <f aca="false">TEXT(A363,"mmm")</f>
        <v>Sep</v>
      </c>
      <c r="D363" s="16" t="s">
        <v>31</v>
      </c>
      <c r="E363" s="16" t="str">
        <f aca="false">INDEX(Products!$B$2:$B$9,MATCH(D363,Products!$A$2:$A$9,0))</f>
        <v>Hot Espresso</v>
      </c>
      <c r="F363" s="17" t="n">
        <f aca="false">INDEX(Products!$C$2:$C$9,MATCH(D363,Products!$A$2:$A$9,0))</f>
        <v>5.45</v>
      </c>
      <c r="G363" s="18" t="n">
        <v>40</v>
      </c>
      <c r="H363" s="17" t="n">
        <f aca="false">F363*G363</f>
        <v>218</v>
      </c>
    </row>
    <row r="364" customFormat="false" ht="15" hidden="false" customHeight="false" outlineLevel="0" collapsed="false">
      <c r="A364" s="15" t="n">
        <v>45918</v>
      </c>
      <c r="B364" s="16" t="str">
        <f aca="false">TEXT(A364,"ddd")</f>
        <v>Thu</v>
      </c>
      <c r="C364" s="16" t="str">
        <f aca="false">TEXT(A364,"mmm")</f>
        <v>Sep</v>
      </c>
      <c r="D364" s="16" t="s">
        <v>32</v>
      </c>
      <c r="E364" s="16" t="str">
        <f aca="false">INDEX(Products!$B$2:$B$9,MATCH(D364,Products!$A$2:$A$9,0))</f>
        <v>Hot Espresso</v>
      </c>
      <c r="F364" s="17" t="n">
        <f aca="false">INDEX(Products!$C$2:$C$9,MATCH(D364,Products!$A$2:$A$9,0))</f>
        <v>3.75</v>
      </c>
      <c r="G364" s="18" t="n">
        <v>28</v>
      </c>
      <c r="H364" s="17" t="n">
        <f aca="false">F364*G364</f>
        <v>105</v>
      </c>
    </row>
    <row r="365" customFormat="false" ht="15" hidden="false" customHeight="false" outlineLevel="0" collapsed="false">
      <c r="A365" s="15" t="n">
        <v>45918</v>
      </c>
      <c r="B365" s="16" t="str">
        <f aca="false">TEXT(A365,"ddd")</f>
        <v>Thu</v>
      </c>
      <c r="C365" s="16" t="str">
        <f aca="false">TEXT(A365,"mmm")</f>
        <v>Sep</v>
      </c>
      <c r="D365" s="16" t="s">
        <v>33</v>
      </c>
      <c r="E365" s="16" t="str">
        <f aca="false">INDEX(Products!$B$2:$B$9,MATCH(D365,Products!$A$2:$A$9,0))</f>
        <v>Hot Espresso</v>
      </c>
      <c r="F365" s="17" t="n">
        <f aca="false">INDEX(Products!$C$2:$C$9,MATCH(D365,Products!$A$2:$A$9,0))</f>
        <v>5.25</v>
      </c>
      <c r="G365" s="18" t="n">
        <v>33</v>
      </c>
      <c r="H365" s="17" t="n">
        <f aca="false">F365*G365</f>
        <v>173.25</v>
      </c>
    </row>
    <row r="366" customFormat="false" ht="15" hidden="false" customHeight="false" outlineLevel="0" collapsed="false">
      <c r="A366" s="15" t="n">
        <v>45918</v>
      </c>
      <c r="B366" s="16" t="str">
        <f aca="false">TEXT(A366,"ddd")</f>
        <v>Thu</v>
      </c>
      <c r="C366" s="16" t="str">
        <f aca="false">TEXT(A366,"mmm")</f>
        <v>Sep</v>
      </c>
      <c r="D366" s="16" t="s">
        <v>34</v>
      </c>
      <c r="E366" s="16" t="str">
        <f aca="false">INDEX(Products!$B$2:$B$9,MATCH(D366,Products!$A$2:$A$9,0))</f>
        <v>Seasonal</v>
      </c>
      <c r="F366" s="17" t="n">
        <f aca="false">INDEX(Products!$C$2:$C$9,MATCH(D366,Products!$A$2:$A$9,0))</f>
        <v>5.75</v>
      </c>
      <c r="G366" s="18" t="n">
        <v>69</v>
      </c>
      <c r="H366" s="17" t="n">
        <f aca="false">F366*G366</f>
        <v>396.75</v>
      </c>
    </row>
    <row r="367" customFormat="false" ht="15" hidden="false" customHeight="false" outlineLevel="0" collapsed="false">
      <c r="A367" s="15" t="n">
        <v>45918</v>
      </c>
      <c r="B367" s="16" t="str">
        <f aca="false">TEXT(A367,"ddd")</f>
        <v>Thu</v>
      </c>
      <c r="C367" s="16" t="str">
        <f aca="false">TEXT(A367,"mmm")</f>
        <v>Sep</v>
      </c>
      <c r="D367" s="16" t="s">
        <v>36</v>
      </c>
      <c r="E367" s="16" t="str">
        <f aca="false">INDEX(Products!$B$2:$B$9,MATCH(D367,Products!$A$2:$A$9,0))</f>
        <v>Cold Drinks</v>
      </c>
      <c r="F367" s="17" t="n">
        <f aca="false">INDEX(Products!$C$2:$C$9,MATCH(D367,Products!$A$2:$A$9,0))</f>
        <v>3.95</v>
      </c>
      <c r="G367" s="18" t="n">
        <v>60</v>
      </c>
      <c r="H367" s="17" t="n">
        <f aca="false">F367*G367</f>
        <v>237</v>
      </c>
    </row>
    <row r="368" customFormat="false" ht="15" hidden="false" customHeight="false" outlineLevel="0" collapsed="false">
      <c r="A368" s="15" t="n">
        <v>45918</v>
      </c>
      <c r="B368" s="16" t="str">
        <f aca="false">TEXT(A368,"ddd")</f>
        <v>Thu</v>
      </c>
      <c r="C368" s="16" t="str">
        <f aca="false">TEXT(A368,"mmm")</f>
        <v>Sep</v>
      </c>
      <c r="D368" s="16" t="s">
        <v>38</v>
      </c>
      <c r="E368" s="16" t="str">
        <f aca="false">INDEX(Products!$B$2:$B$9,MATCH(D368,Products!$A$2:$A$9,0))</f>
        <v>Cold Drinks</v>
      </c>
      <c r="F368" s="17" t="n">
        <f aca="false">INDEX(Products!$C$2:$C$9,MATCH(D368,Products!$A$2:$A$9,0))</f>
        <v>4.45</v>
      </c>
      <c r="G368" s="18" t="n">
        <v>42</v>
      </c>
      <c r="H368" s="17" t="n">
        <f aca="false">F368*G368</f>
        <v>186.9</v>
      </c>
    </row>
    <row r="369" customFormat="false" ht="15" hidden="false" customHeight="false" outlineLevel="0" collapsed="false">
      <c r="A369" s="15" t="n">
        <v>45919</v>
      </c>
      <c r="B369" s="16" t="str">
        <f aca="false">TEXT(A369,"ddd")</f>
        <v>Fri</v>
      </c>
      <c r="C369" s="16" t="str">
        <f aca="false">TEXT(A369,"mmm")</f>
        <v>Sep</v>
      </c>
      <c r="D369" s="16" t="s">
        <v>28</v>
      </c>
      <c r="E369" s="16" t="str">
        <f aca="false">INDEX(Products!$B$2:$B$9,MATCH(D369,Products!$A$2:$A$9,0))</f>
        <v>Hot Espresso</v>
      </c>
      <c r="F369" s="17" t="n">
        <f aca="false">INDEX(Products!$C$2:$C$9,MATCH(D369,Products!$A$2:$A$9,0))</f>
        <v>4.95</v>
      </c>
      <c r="G369" s="18" t="n">
        <v>74</v>
      </c>
      <c r="H369" s="17" t="n">
        <f aca="false">F369*G369</f>
        <v>366.3</v>
      </c>
    </row>
    <row r="370" customFormat="false" ht="15" hidden="false" customHeight="false" outlineLevel="0" collapsed="false">
      <c r="A370" s="15" t="n">
        <v>45919</v>
      </c>
      <c r="B370" s="16" t="str">
        <f aca="false">TEXT(A370,"ddd")</f>
        <v>Fri</v>
      </c>
      <c r="C370" s="16" t="str">
        <f aca="false">TEXT(A370,"mmm")</f>
        <v>Sep</v>
      </c>
      <c r="D370" s="16" t="s">
        <v>30</v>
      </c>
      <c r="E370" s="16" t="str">
        <f aca="false">INDEX(Products!$B$2:$B$9,MATCH(D370,Products!$A$2:$A$9,0))</f>
        <v>Hot Espresso</v>
      </c>
      <c r="F370" s="17" t="n">
        <f aca="false">INDEX(Products!$C$2:$C$9,MATCH(D370,Products!$A$2:$A$9,0))</f>
        <v>4.75</v>
      </c>
      <c r="G370" s="18" t="n">
        <v>57</v>
      </c>
      <c r="H370" s="17" t="n">
        <f aca="false">F370*G370</f>
        <v>270.75</v>
      </c>
    </row>
    <row r="371" customFormat="false" ht="15" hidden="false" customHeight="false" outlineLevel="0" collapsed="false">
      <c r="A371" s="15" t="n">
        <v>45919</v>
      </c>
      <c r="B371" s="16" t="str">
        <f aca="false">TEXT(A371,"ddd")</f>
        <v>Fri</v>
      </c>
      <c r="C371" s="16" t="str">
        <f aca="false">TEXT(A371,"mmm")</f>
        <v>Sep</v>
      </c>
      <c r="D371" s="16" t="s">
        <v>31</v>
      </c>
      <c r="E371" s="16" t="str">
        <f aca="false">INDEX(Products!$B$2:$B$9,MATCH(D371,Products!$A$2:$A$9,0))</f>
        <v>Hot Espresso</v>
      </c>
      <c r="F371" s="17" t="n">
        <f aca="false">INDEX(Products!$C$2:$C$9,MATCH(D371,Products!$A$2:$A$9,0))</f>
        <v>5.45</v>
      </c>
      <c r="G371" s="18" t="n">
        <v>44</v>
      </c>
      <c r="H371" s="17" t="n">
        <f aca="false">F371*G371</f>
        <v>239.8</v>
      </c>
    </row>
    <row r="372" customFormat="false" ht="15" hidden="false" customHeight="false" outlineLevel="0" collapsed="false">
      <c r="A372" s="15" t="n">
        <v>45919</v>
      </c>
      <c r="B372" s="16" t="str">
        <f aca="false">TEXT(A372,"ddd")</f>
        <v>Fri</v>
      </c>
      <c r="C372" s="16" t="str">
        <f aca="false">TEXT(A372,"mmm")</f>
        <v>Sep</v>
      </c>
      <c r="D372" s="16" t="s">
        <v>32</v>
      </c>
      <c r="E372" s="16" t="str">
        <f aca="false">INDEX(Products!$B$2:$B$9,MATCH(D372,Products!$A$2:$A$9,0))</f>
        <v>Hot Espresso</v>
      </c>
      <c r="F372" s="17" t="n">
        <f aca="false">INDEX(Products!$C$2:$C$9,MATCH(D372,Products!$A$2:$A$9,0))</f>
        <v>3.75</v>
      </c>
      <c r="G372" s="18" t="n">
        <v>26</v>
      </c>
      <c r="H372" s="17" t="n">
        <f aca="false">F372*G372</f>
        <v>97.5</v>
      </c>
    </row>
    <row r="373" customFormat="false" ht="15" hidden="false" customHeight="false" outlineLevel="0" collapsed="false">
      <c r="A373" s="15" t="n">
        <v>45919</v>
      </c>
      <c r="B373" s="16" t="str">
        <f aca="false">TEXT(A373,"ddd")</f>
        <v>Fri</v>
      </c>
      <c r="C373" s="16" t="str">
        <f aca="false">TEXT(A373,"mmm")</f>
        <v>Sep</v>
      </c>
      <c r="D373" s="16" t="s">
        <v>33</v>
      </c>
      <c r="E373" s="16" t="str">
        <f aca="false">INDEX(Products!$B$2:$B$9,MATCH(D373,Products!$A$2:$A$9,0))</f>
        <v>Hot Espresso</v>
      </c>
      <c r="F373" s="17" t="n">
        <f aca="false">INDEX(Products!$C$2:$C$9,MATCH(D373,Products!$A$2:$A$9,0))</f>
        <v>5.25</v>
      </c>
      <c r="G373" s="18" t="n">
        <v>34</v>
      </c>
      <c r="H373" s="17" t="n">
        <f aca="false">F373*G373</f>
        <v>178.5</v>
      </c>
    </row>
    <row r="374" customFormat="false" ht="15" hidden="false" customHeight="false" outlineLevel="0" collapsed="false">
      <c r="A374" s="15" t="n">
        <v>45919</v>
      </c>
      <c r="B374" s="16" t="str">
        <f aca="false">TEXT(A374,"ddd")</f>
        <v>Fri</v>
      </c>
      <c r="C374" s="16" t="str">
        <f aca="false">TEXT(A374,"mmm")</f>
        <v>Sep</v>
      </c>
      <c r="D374" s="16" t="s">
        <v>34</v>
      </c>
      <c r="E374" s="16" t="str">
        <f aca="false">INDEX(Products!$B$2:$B$9,MATCH(D374,Products!$A$2:$A$9,0))</f>
        <v>Seasonal</v>
      </c>
      <c r="F374" s="17" t="n">
        <f aca="false">INDEX(Products!$C$2:$C$9,MATCH(D374,Products!$A$2:$A$9,0))</f>
        <v>5.75</v>
      </c>
      <c r="G374" s="18" t="n">
        <v>75</v>
      </c>
      <c r="H374" s="17" t="n">
        <f aca="false">F374*G374</f>
        <v>431.25</v>
      </c>
    </row>
    <row r="375" customFormat="false" ht="15" hidden="false" customHeight="false" outlineLevel="0" collapsed="false">
      <c r="A375" s="15" t="n">
        <v>45919</v>
      </c>
      <c r="B375" s="16" t="str">
        <f aca="false">TEXT(A375,"ddd")</f>
        <v>Fri</v>
      </c>
      <c r="C375" s="16" t="str">
        <f aca="false">TEXT(A375,"mmm")</f>
        <v>Sep</v>
      </c>
      <c r="D375" s="16" t="s">
        <v>36</v>
      </c>
      <c r="E375" s="16" t="str">
        <f aca="false">INDEX(Products!$B$2:$B$9,MATCH(D375,Products!$A$2:$A$9,0))</f>
        <v>Cold Drinks</v>
      </c>
      <c r="F375" s="17" t="n">
        <f aca="false">INDEX(Products!$C$2:$C$9,MATCH(D375,Products!$A$2:$A$9,0))</f>
        <v>3.95</v>
      </c>
      <c r="G375" s="18" t="n">
        <v>49</v>
      </c>
      <c r="H375" s="17" t="n">
        <f aca="false">F375*G375</f>
        <v>193.55</v>
      </c>
    </row>
    <row r="376" customFormat="false" ht="15" hidden="false" customHeight="false" outlineLevel="0" collapsed="false">
      <c r="A376" s="15" t="n">
        <v>45919</v>
      </c>
      <c r="B376" s="16" t="str">
        <f aca="false">TEXT(A376,"ddd")</f>
        <v>Fri</v>
      </c>
      <c r="C376" s="16" t="str">
        <f aca="false">TEXT(A376,"mmm")</f>
        <v>Sep</v>
      </c>
      <c r="D376" s="16" t="s">
        <v>38</v>
      </c>
      <c r="E376" s="16" t="str">
        <f aca="false">INDEX(Products!$B$2:$B$9,MATCH(D376,Products!$A$2:$A$9,0))</f>
        <v>Cold Drinks</v>
      </c>
      <c r="F376" s="17" t="n">
        <f aca="false">INDEX(Products!$C$2:$C$9,MATCH(D376,Products!$A$2:$A$9,0))</f>
        <v>4.45</v>
      </c>
      <c r="G376" s="18" t="n">
        <v>41</v>
      </c>
      <c r="H376" s="17" t="n">
        <f aca="false">F376*G376</f>
        <v>182.45</v>
      </c>
    </row>
    <row r="377" customFormat="false" ht="15" hidden="false" customHeight="false" outlineLevel="0" collapsed="false">
      <c r="A377" s="15" t="n">
        <v>45920</v>
      </c>
      <c r="B377" s="16" t="str">
        <f aca="false">TEXT(A377,"ddd")</f>
        <v>Sat</v>
      </c>
      <c r="C377" s="16" t="str">
        <f aca="false">TEXT(A377,"mmm")</f>
        <v>Sep</v>
      </c>
      <c r="D377" s="16" t="s">
        <v>28</v>
      </c>
      <c r="E377" s="16" t="str">
        <f aca="false">INDEX(Products!$B$2:$B$9,MATCH(D377,Products!$A$2:$A$9,0))</f>
        <v>Hot Espresso</v>
      </c>
      <c r="F377" s="17" t="n">
        <f aca="false">INDEX(Products!$C$2:$C$9,MATCH(D377,Products!$A$2:$A$9,0))</f>
        <v>4.95</v>
      </c>
      <c r="G377" s="18" t="n">
        <v>80</v>
      </c>
      <c r="H377" s="17" t="n">
        <f aca="false">F377*G377</f>
        <v>396</v>
      </c>
    </row>
    <row r="378" customFormat="false" ht="15" hidden="false" customHeight="false" outlineLevel="0" collapsed="false">
      <c r="A378" s="15" t="n">
        <v>45920</v>
      </c>
      <c r="B378" s="16" t="str">
        <f aca="false">TEXT(A378,"ddd")</f>
        <v>Sat</v>
      </c>
      <c r="C378" s="16" t="str">
        <f aca="false">TEXT(A378,"mmm")</f>
        <v>Sep</v>
      </c>
      <c r="D378" s="16" t="s">
        <v>30</v>
      </c>
      <c r="E378" s="16" t="str">
        <f aca="false">INDEX(Products!$B$2:$B$9,MATCH(D378,Products!$A$2:$A$9,0))</f>
        <v>Hot Espresso</v>
      </c>
      <c r="F378" s="17" t="n">
        <f aca="false">INDEX(Products!$C$2:$C$9,MATCH(D378,Products!$A$2:$A$9,0))</f>
        <v>4.75</v>
      </c>
      <c r="G378" s="18" t="n">
        <v>55</v>
      </c>
      <c r="H378" s="17" t="n">
        <f aca="false">F378*G378</f>
        <v>261.25</v>
      </c>
    </row>
    <row r="379" customFormat="false" ht="15" hidden="false" customHeight="false" outlineLevel="0" collapsed="false">
      <c r="A379" s="15" t="n">
        <v>45920</v>
      </c>
      <c r="B379" s="16" t="str">
        <f aca="false">TEXT(A379,"ddd")</f>
        <v>Sat</v>
      </c>
      <c r="C379" s="16" t="str">
        <f aca="false">TEXT(A379,"mmm")</f>
        <v>Sep</v>
      </c>
      <c r="D379" s="16" t="s">
        <v>31</v>
      </c>
      <c r="E379" s="16" t="str">
        <f aca="false">INDEX(Products!$B$2:$B$9,MATCH(D379,Products!$A$2:$A$9,0))</f>
        <v>Hot Espresso</v>
      </c>
      <c r="F379" s="17" t="n">
        <f aca="false">INDEX(Products!$C$2:$C$9,MATCH(D379,Products!$A$2:$A$9,0))</f>
        <v>5.45</v>
      </c>
      <c r="G379" s="18" t="n">
        <v>48</v>
      </c>
      <c r="H379" s="17" t="n">
        <f aca="false">F379*G379</f>
        <v>261.6</v>
      </c>
    </row>
    <row r="380" customFormat="false" ht="15" hidden="false" customHeight="false" outlineLevel="0" collapsed="false">
      <c r="A380" s="15" t="n">
        <v>45920</v>
      </c>
      <c r="B380" s="16" t="str">
        <f aca="false">TEXT(A380,"ddd")</f>
        <v>Sat</v>
      </c>
      <c r="C380" s="16" t="str">
        <f aca="false">TEXT(A380,"mmm")</f>
        <v>Sep</v>
      </c>
      <c r="D380" s="16" t="s">
        <v>32</v>
      </c>
      <c r="E380" s="16" t="str">
        <f aca="false">INDEX(Products!$B$2:$B$9,MATCH(D380,Products!$A$2:$A$9,0))</f>
        <v>Hot Espresso</v>
      </c>
      <c r="F380" s="17" t="n">
        <f aca="false">INDEX(Products!$C$2:$C$9,MATCH(D380,Products!$A$2:$A$9,0))</f>
        <v>3.75</v>
      </c>
      <c r="G380" s="18" t="n">
        <v>33</v>
      </c>
      <c r="H380" s="17" t="n">
        <f aca="false">F380*G380</f>
        <v>123.75</v>
      </c>
    </row>
    <row r="381" customFormat="false" ht="15" hidden="false" customHeight="false" outlineLevel="0" collapsed="false">
      <c r="A381" s="15" t="n">
        <v>45920</v>
      </c>
      <c r="B381" s="16" t="str">
        <f aca="false">TEXT(A381,"ddd")</f>
        <v>Sat</v>
      </c>
      <c r="C381" s="16" t="str">
        <f aca="false">TEXT(A381,"mmm")</f>
        <v>Sep</v>
      </c>
      <c r="D381" s="16" t="s">
        <v>33</v>
      </c>
      <c r="E381" s="16" t="str">
        <f aca="false">INDEX(Products!$B$2:$B$9,MATCH(D381,Products!$A$2:$A$9,0))</f>
        <v>Hot Espresso</v>
      </c>
      <c r="F381" s="17" t="n">
        <f aca="false">INDEX(Products!$C$2:$C$9,MATCH(D381,Products!$A$2:$A$9,0))</f>
        <v>5.25</v>
      </c>
      <c r="G381" s="18" t="n">
        <v>47</v>
      </c>
      <c r="H381" s="17" t="n">
        <f aca="false">F381*G381</f>
        <v>246.75</v>
      </c>
    </row>
    <row r="382" customFormat="false" ht="15" hidden="false" customHeight="false" outlineLevel="0" collapsed="false">
      <c r="A382" s="15" t="n">
        <v>45920</v>
      </c>
      <c r="B382" s="16" t="str">
        <f aca="false">TEXT(A382,"ddd")</f>
        <v>Sat</v>
      </c>
      <c r="C382" s="16" t="str">
        <f aca="false">TEXT(A382,"mmm")</f>
        <v>Sep</v>
      </c>
      <c r="D382" s="16" t="s">
        <v>34</v>
      </c>
      <c r="E382" s="16" t="str">
        <f aca="false">INDEX(Products!$B$2:$B$9,MATCH(D382,Products!$A$2:$A$9,0))</f>
        <v>Seasonal</v>
      </c>
      <c r="F382" s="17" t="n">
        <f aca="false">INDEX(Products!$C$2:$C$9,MATCH(D382,Products!$A$2:$A$9,0))</f>
        <v>5.75</v>
      </c>
      <c r="G382" s="18" t="n">
        <v>88</v>
      </c>
      <c r="H382" s="17" t="n">
        <f aca="false">F382*G382</f>
        <v>506</v>
      </c>
    </row>
    <row r="383" customFormat="false" ht="15" hidden="false" customHeight="false" outlineLevel="0" collapsed="false">
      <c r="A383" s="15" t="n">
        <v>45920</v>
      </c>
      <c r="B383" s="16" t="str">
        <f aca="false">TEXT(A383,"ddd")</f>
        <v>Sat</v>
      </c>
      <c r="C383" s="16" t="str">
        <f aca="false">TEXT(A383,"mmm")</f>
        <v>Sep</v>
      </c>
      <c r="D383" s="16" t="s">
        <v>36</v>
      </c>
      <c r="E383" s="16" t="str">
        <f aca="false">INDEX(Products!$B$2:$B$9,MATCH(D383,Products!$A$2:$A$9,0))</f>
        <v>Cold Drinks</v>
      </c>
      <c r="F383" s="17" t="n">
        <f aca="false">INDEX(Products!$C$2:$C$9,MATCH(D383,Products!$A$2:$A$9,0))</f>
        <v>3.95</v>
      </c>
      <c r="G383" s="18" t="n">
        <v>61</v>
      </c>
      <c r="H383" s="17" t="n">
        <f aca="false">F383*G383</f>
        <v>240.95</v>
      </c>
    </row>
    <row r="384" customFormat="false" ht="15" hidden="false" customHeight="false" outlineLevel="0" collapsed="false">
      <c r="A384" s="15" t="n">
        <v>45920</v>
      </c>
      <c r="B384" s="16" t="str">
        <f aca="false">TEXT(A384,"ddd")</f>
        <v>Sat</v>
      </c>
      <c r="C384" s="16" t="str">
        <f aca="false">TEXT(A384,"mmm")</f>
        <v>Sep</v>
      </c>
      <c r="D384" s="16" t="s">
        <v>38</v>
      </c>
      <c r="E384" s="16" t="str">
        <f aca="false">INDEX(Products!$B$2:$B$9,MATCH(D384,Products!$A$2:$A$9,0))</f>
        <v>Cold Drinks</v>
      </c>
      <c r="F384" s="17" t="n">
        <f aca="false">INDEX(Products!$C$2:$C$9,MATCH(D384,Products!$A$2:$A$9,0))</f>
        <v>4.45</v>
      </c>
      <c r="G384" s="18" t="n">
        <v>48</v>
      </c>
      <c r="H384" s="17" t="n">
        <f aca="false">F384*G384</f>
        <v>213.6</v>
      </c>
    </row>
    <row r="385" customFormat="false" ht="15" hidden="false" customHeight="false" outlineLevel="0" collapsed="false">
      <c r="A385" s="15" t="n">
        <v>45921</v>
      </c>
      <c r="B385" s="16" t="str">
        <f aca="false">TEXT(A385,"ddd")</f>
        <v>Sun</v>
      </c>
      <c r="C385" s="16" t="str">
        <f aca="false">TEXT(A385,"mmm")</f>
        <v>Sep</v>
      </c>
      <c r="D385" s="16" t="s">
        <v>28</v>
      </c>
      <c r="E385" s="16" t="str">
        <f aca="false">INDEX(Products!$B$2:$B$9,MATCH(D385,Products!$A$2:$A$9,0))</f>
        <v>Hot Espresso</v>
      </c>
      <c r="F385" s="17" t="n">
        <f aca="false">INDEX(Products!$C$2:$C$9,MATCH(D385,Products!$A$2:$A$9,0))</f>
        <v>4.95</v>
      </c>
      <c r="G385" s="18" t="n">
        <v>78</v>
      </c>
      <c r="H385" s="17" t="n">
        <f aca="false">F385*G385</f>
        <v>386.1</v>
      </c>
    </row>
    <row r="386" customFormat="false" ht="15" hidden="false" customHeight="false" outlineLevel="0" collapsed="false">
      <c r="A386" s="15" t="n">
        <v>45921</v>
      </c>
      <c r="B386" s="16" t="str">
        <f aca="false">TEXT(A386,"ddd")</f>
        <v>Sun</v>
      </c>
      <c r="C386" s="16" t="str">
        <f aca="false">TEXT(A386,"mmm")</f>
        <v>Sep</v>
      </c>
      <c r="D386" s="16" t="s">
        <v>30</v>
      </c>
      <c r="E386" s="16" t="str">
        <f aca="false">INDEX(Products!$B$2:$B$9,MATCH(D386,Products!$A$2:$A$9,0))</f>
        <v>Hot Espresso</v>
      </c>
      <c r="F386" s="17" t="n">
        <f aca="false">INDEX(Products!$C$2:$C$9,MATCH(D386,Products!$A$2:$A$9,0))</f>
        <v>4.75</v>
      </c>
      <c r="G386" s="18" t="n">
        <v>50</v>
      </c>
      <c r="H386" s="17" t="n">
        <f aca="false">F386*G386</f>
        <v>237.5</v>
      </c>
    </row>
    <row r="387" customFormat="false" ht="15" hidden="false" customHeight="false" outlineLevel="0" collapsed="false">
      <c r="A387" s="15" t="n">
        <v>45921</v>
      </c>
      <c r="B387" s="16" t="str">
        <f aca="false">TEXT(A387,"ddd")</f>
        <v>Sun</v>
      </c>
      <c r="C387" s="16" t="str">
        <f aca="false">TEXT(A387,"mmm")</f>
        <v>Sep</v>
      </c>
      <c r="D387" s="16" t="s">
        <v>31</v>
      </c>
      <c r="E387" s="16" t="str">
        <f aca="false">INDEX(Products!$B$2:$B$9,MATCH(D387,Products!$A$2:$A$9,0))</f>
        <v>Hot Espresso</v>
      </c>
      <c r="F387" s="17" t="n">
        <f aca="false">INDEX(Products!$C$2:$C$9,MATCH(D387,Products!$A$2:$A$9,0))</f>
        <v>5.45</v>
      </c>
      <c r="G387" s="18" t="n">
        <v>50</v>
      </c>
      <c r="H387" s="17" t="n">
        <f aca="false">F387*G387</f>
        <v>272.5</v>
      </c>
    </row>
    <row r="388" customFormat="false" ht="15" hidden="false" customHeight="false" outlineLevel="0" collapsed="false">
      <c r="A388" s="15" t="n">
        <v>45921</v>
      </c>
      <c r="B388" s="16" t="str">
        <f aca="false">TEXT(A388,"ddd")</f>
        <v>Sun</v>
      </c>
      <c r="C388" s="16" t="str">
        <f aca="false">TEXT(A388,"mmm")</f>
        <v>Sep</v>
      </c>
      <c r="D388" s="16" t="s">
        <v>32</v>
      </c>
      <c r="E388" s="16" t="str">
        <f aca="false">INDEX(Products!$B$2:$B$9,MATCH(D388,Products!$A$2:$A$9,0))</f>
        <v>Hot Espresso</v>
      </c>
      <c r="F388" s="17" t="n">
        <f aca="false">INDEX(Products!$C$2:$C$9,MATCH(D388,Products!$A$2:$A$9,0))</f>
        <v>3.75</v>
      </c>
      <c r="G388" s="18" t="n">
        <v>35</v>
      </c>
      <c r="H388" s="17" t="n">
        <f aca="false">F388*G388</f>
        <v>131.25</v>
      </c>
    </row>
    <row r="389" customFormat="false" ht="15" hidden="false" customHeight="false" outlineLevel="0" collapsed="false">
      <c r="A389" s="15" t="n">
        <v>45921</v>
      </c>
      <c r="B389" s="16" t="str">
        <f aca="false">TEXT(A389,"ddd")</f>
        <v>Sun</v>
      </c>
      <c r="C389" s="16" t="str">
        <f aca="false">TEXT(A389,"mmm")</f>
        <v>Sep</v>
      </c>
      <c r="D389" s="16" t="s">
        <v>33</v>
      </c>
      <c r="E389" s="16" t="str">
        <f aca="false">INDEX(Products!$B$2:$B$9,MATCH(D389,Products!$A$2:$A$9,0))</f>
        <v>Hot Espresso</v>
      </c>
      <c r="F389" s="17" t="n">
        <f aca="false">INDEX(Products!$C$2:$C$9,MATCH(D389,Products!$A$2:$A$9,0))</f>
        <v>5.25</v>
      </c>
      <c r="G389" s="18" t="n">
        <v>41</v>
      </c>
      <c r="H389" s="17" t="n">
        <f aca="false">F389*G389</f>
        <v>215.25</v>
      </c>
    </row>
    <row r="390" customFormat="false" ht="15" hidden="false" customHeight="false" outlineLevel="0" collapsed="false">
      <c r="A390" s="15" t="n">
        <v>45921</v>
      </c>
      <c r="B390" s="16" t="str">
        <f aca="false">TEXT(A390,"ddd")</f>
        <v>Sun</v>
      </c>
      <c r="C390" s="16" t="str">
        <f aca="false">TEXT(A390,"mmm")</f>
        <v>Sep</v>
      </c>
      <c r="D390" s="16" t="s">
        <v>34</v>
      </c>
      <c r="E390" s="16" t="str">
        <f aca="false">INDEX(Products!$B$2:$B$9,MATCH(D390,Products!$A$2:$A$9,0))</f>
        <v>Seasonal</v>
      </c>
      <c r="F390" s="17" t="n">
        <f aca="false">INDEX(Products!$C$2:$C$9,MATCH(D390,Products!$A$2:$A$9,0))</f>
        <v>5.75</v>
      </c>
      <c r="G390" s="18" t="n">
        <v>92</v>
      </c>
      <c r="H390" s="17" t="n">
        <f aca="false">F390*G390</f>
        <v>529</v>
      </c>
    </row>
    <row r="391" customFormat="false" ht="15" hidden="false" customHeight="false" outlineLevel="0" collapsed="false">
      <c r="A391" s="15" t="n">
        <v>45921</v>
      </c>
      <c r="B391" s="16" t="str">
        <f aca="false">TEXT(A391,"ddd")</f>
        <v>Sun</v>
      </c>
      <c r="C391" s="16" t="str">
        <f aca="false">TEXT(A391,"mmm")</f>
        <v>Sep</v>
      </c>
      <c r="D391" s="16" t="s">
        <v>36</v>
      </c>
      <c r="E391" s="16" t="str">
        <f aca="false">INDEX(Products!$B$2:$B$9,MATCH(D391,Products!$A$2:$A$9,0))</f>
        <v>Cold Drinks</v>
      </c>
      <c r="F391" s="17" t="n">
        <f aca="false">INDEX(Products!$C$2:$C$9,MATCH(D391,Products!$A$2:$A$9,0))</f>
        <v>3.95</v>
      </c>
      <c r="G391" s="18" t="n">
        <v>57</v>
      </c>
      <c r="H391" s="17" t="n">
        <f aca="false">F391*G391</f>
        <v>225.15</v>
      </c>
    </row>
    <row r="392" customFormat="false" ht="15" hidden="false" customHeight="false" outlineLevel="0" collapsed="false">
      <c r="A392" s="15" t="n">
        <v>45921</v>
      </c>
      <c r="B392" s="16" t="str">
        <f aca="false">TEXT(A392,"ddd")</f>
        <v>Sun</v>
      </c>
      <c r="C392" s="16" t="str">
        <f aca="false">TEXT(A392,"mmm")</f>
        <v>Sep</v>
      </c>
      <c r="D392" s="16" t="s">
        <v>38</v>
      </c>
      <c r="E392" s="16" t="str">
        <f aca="false">INDEX(Products!$B$2:$B$9,MATCH(D392,Products!$A$2:$A$9,0))</f>
        <v>Cold Drinks</v>
      </c>
      <c r="F392" s="17" t="n">
        <f aca="false">INDEX(Products!$C$2:$C$9,MATCH(D392,Products!$A$2:$A$9,0))</f>
        <v>4.45</v>
      </c>
      <c r="G392" s="18" t="n">
        <v>50</v>
      </c>
      <c r="H392" s="17" t="n">
        <f aca="false">F392*G392</f>
        <v>222.5</v>
      </c>
    </row>
    <row r="393" customFormat="false" ht="15" hidden="false" customHeight="false" outlineLevel="0" collapsed="false">
      <c r="A393" s="15" t="n">
        <v>45922</v>
      </c>
      <c r="B393" s="16" t="str">
        <f aca="false">TEXT(A393,"ddd")</f>
        <v>Mon</v>
      </c>
      <c r="C393" s="16" t="str">
        <f aca="false">TEXT(A393,"mmm")</f>
        <v>Sep</v>
      </c>
      <c r="D393" s="16" t="s">
        <v>28</v>
      </c>
      <c r="E393" s="16" t="str">
        <f aca="false">INDEX(Products!$B$2:$B$9,MATCH(D393,Products!$A$2:$A$9,0))</f>
        <v>Hot Espresso</v>
      </c>
      <c r="F393" s="17" t="n">
        <f aca="false">INDEX(Products!$C$2:$C$9,MATCH(D393,Products!$A$2:$A$9,0))</f>
        <v>4.95</v>
      </c>
      <c r="G393" s="18" t="n">
        <v>62</v>
      </c>
      <c r="H393" s="17" t="n">
        <f aca="false">F393*G393</f>
        <v>306.9</v>
      </c>
    </row>
    <row r="394" customFormat="false" ht="15" hidden="false" customHeight="false" outlineLevel="0" collapsed="false">
      <c r="A394" s="15" t="n">
        <v>45922</v>
      </c>
      <c r="B394" s="16" t="str">
        <f aca="false">TEXT(A394,"ddd")</f>
        <v>Mon</v>
      </c>
      <c r="C394" s="16" t="str">
        <f aca="false">TEXT(A394,"mmm")</f>
        <v>Sep</v>
      </c>
      <c r="D394" s="16" t="s">
        <v>30</v>
      </c>
      <c r="E394" s="16" t="str">
        <f aca="false">INDEX(Products!$B$2:$B$9,MATCH(D394,Products!$A$2:$A$9,0))</f>
        <v>Hot Espresso</v>
      </c>
      <c r="F394" s="17" t="n">
        <f aca="false">INDEX(Products!$C$2:$C$9,MATCH(D394,Products!$A$2:$A$9,0))</f>
        <v>4.75</v>
      </c>
      <c r="G394" s="18" t="n">
        <v>46</v>
      </c>
      <c r="H394" s="17" t="n">
        <f aca="false">F394*G394</f>
        <v>218.5</v>
      </c>
    </row>
    <row r="395" customFormat="false" ht="15" hidden="false" customHeight="false" outlineLevel="0" collapsed="false">
      <c r="A395" s="15" t="n">
        <v>45922</v>
      </c>
      <c r="B395" s="16" t="str">
        <f aca="false">TEXT(A395,"ddd")</f>
        <v>Mon</v>
      </c>
      <c r="C395" s="16" t="str">
        <f aca="false">TEXT(A395,"mmm")</f>
        <v>Sep</v>
      </c>
      <c r="D395" s="16" t="s">
        <v>31</v>
      </c>
      <c r="E395" s="16" t="str">
        <f aca="false">INDEX(Products!$B$2:$B$9,MATCH(D395,Products!$A$2:$A$9,0))</f>
        <v>Hot Espresso</v>
      </c>
      <c r="F395" s="17" t="n">
        <f aca="false">INDEX(Products!$C$2:$C$9,MATCH(D395,Products!$A$2:$A$9,0))</f>
        <v>5.45</v>
      </c>
      <c r="G395" s="18" t="n">
        <v>48</v>
      </c>
      <c r="H395" s="17" t="n">
        <f aca="false">F395*G395</f>
        <v>261.6</v>
      </c>
    </row>
    <row r="396" customFormat="false" ht="15" hidden="false" customHeight="false" outlineLevel="0" collapsed="false">
      <c r="A396" s="15" t="n">
        <v>45922</v>
      </c>
      <c r="B396" s="16" t="str">
        <f aca="false">TEXT(A396,"ddd")</f>
        <v>Mon</v>
      </c>
      <c r="C396" s="16" t="str">
        <f aca="false">TEXT(A396,"mmm")</f>
        <v>Sep</v>
      </c>
      <c r="D396" s="16" t="s">
        <v>32</v>
      </c>
      <c r="E396" s="16" t="str">
        <f aca="false">INDEX(Products!$B$2:$B$9,MATCH(D396,Products!$A$2:$A$9,0))</f>
        <v>Hot Espresso</v>
      </c>
      <c r="F396" s="17" t="n">
        <f aca="false">INDEX(Products!$C$2:$C$9,MATCH(D396,Products!$A$2:$A$9,0))</f>
        <v>3.75</v>
      </c>
      <c r="G396" s="18" t="n">
        <v>32</v>
      </c>
      <c r="H396" s="17" t="n">
        <f aca="false">F396*G396</f>
        <v>120</v>
      </c>
    </row>
    <row r="397" customFormat="false" ht="15" hidden="false" customHeight="false" outlineLevel="0" collapsed="false">
      <c r="A397" s="15" t="n">
        <v>45922</v>
      </c>
      <c r="B397" s="16" t="str">
        <f aca="false">TEXT(A397,"ddd")</f>
        <v>Mon</v>
      </c>
      <c r="C397" s="16" t="str">
        <f aca="false">TEXT(A397,"mmm")</f>
        <v>Sep</v>
      </c>
      <c r="D397" s="16" t="s">
        <v>33</v>
      </c>
      <c r="E397" s="16" t="str">
        <f aca="false">INDEX(Products!$B$2:$B$9,MATCH(D397,Products!$A$2:$A$9,0))</f>
        <v>Hot Espresso</v>
      </c>
      <c r="F397" s="17" t="n">
        <f aca="false">INDEX(Products!$C$2:$C$9,MATCH(D397,Products!$A$2:$A$9,0))</f>
        <v>5.25</v>
      </c>
      <c r="G397" s="18" t="n">
        <v>35</v>
      </c>
      <c r="H397" s="17" t="n">
        <f aca="false">F397*G397</f>
        <v>183.75</v>
      </c>
    </row>
    <row r="398" customFormat="false" ht="15" hidden="false" customHeight="false" outlineLevel="0" collapsed="false">
      <c r="A398" s="15" t="n">
        <v>45922</v>
      </c>
      <c r="B398" s="16" t="str">
        <f aca="false">TEXT(A398,"ddd")</f>
        <v>Mon</v>
      </c>
      <c r="C398" s="16" t="str">
        <f aca="false">TEXT(A398,"mmm")</f>
        <v>Sep</v>
      </c>
      <c r="D398" s="16" t="s">
        <v>34</v>
      </c>
      <c r="E398" s="16" t="str">
        <f aca="false">INDEX(Products!$B$2:$B$9,MATCH(D398,Products!$A$2:$A$9,0))</f>
        <v>Seasonal</v>
      </c>
      <c r="F398" s="17" t="n">
        <f aca="false">INDEX(Products!$C$2:$C$9,MATCH(D398,Products!$A$2:$A$9,0))</f>
        <v>5.75</v>
      </c>
      <c r="G398" s="18" t="n">
        <v>69</v>
      </c>
      <c r="H398" s="17" t="n">
        <f aca="false">F398*G398</f>
        <v>396.75</v>
      </c>
    </row>
    <row r="399" customFormat="false" ht="15" hidden="false" customHeight="false" outlineLevel="0" collapsed="false">
      <c r="A399" s="15" t="n">
        <v>45922</v>
      </c>
      <c r="B399" s="16" t="str">
        <f aca="false">TEXT(A399,"ddd")</f>
        <v>Mon</v>
      </c>
      <c r="C399" s="16" t="str">
        <f aca="false">TEXT(A399,"mmm")</f>
        <v>Sep</v>
      </c>
      <c r="D399" s="16" t="s">
        <v>36</v>
      </c>
      <c r="E399" s="16" t="str">
        <f aca="false">INDEX(Products!$B$2:$B$9,MATCH(D399,Products!$A$2:$A$9,0))</f>
        <v>Cold Drinks</v>
      </c>
      <c r="F399" s="17" t="n">
        <f aca="false">INDEX(Products!$C$2:$C$9,MATCH(D399,Products!$A$2:$A$9,0))</f>
        <v>3.95</v>
      </c>
      <c r="G399" s="18" t="n">
        <v>57</v>
      </c>
      <c r="H399" s="17" t="n">
        <f aca="false">F399*G399</f>
        <v>225.15</v>
      </c>
    </row>
    <row r="400" customFormat="false" ht="15" hidden="false" customHeight="false" outlineLevel="0" collapsed="false">
      <c r="A400" s="15" t="n">
        <v>45922</v>
      </c>
      <c r="B400" s="16" t="str">
        <f aca="false">TEXT(A400,"ddd")</f>
        <v>Mon</v>
      </c>
      <c r="C400" s="16" t="str">
        <f aca="false">TEXT(A400,"mmm")</f>
        <v>Sep</v>
      </c>
      <c r="D400" s="16" t="s">
        <v>38</v>
      </c>
      <c r="E400" s="16" t="str">
        <f aca="false">INDEX(Products!$B$2:$B$9,MATCH(D400,Products!$A$2:$A$9,0))</f>
        <v>Cold Drinks</v>
      </c>
      <c r="F400" s="17" t="n">
        <f aca="false">INDEX(Products!$C$2:$C$9,MATCH(D400,Products!$A$2:$A$9,0))</f>
        <v>4.45</v>
      </c>
      <c r="G400" s="18" t="n">
        <v>39</v>
      </c>
      <c r="H400" s="17" t="n">
        <f aca="false">F400*G400</f>
        <v>173.55</v>
      </c>
    </row>
    <row r="401" customFormat="false" ht="15" hidden="false" customHeight="false" outlineLevel="0" collapsed="false">
      <c r="A401" s="15" t="n">
        <v>45923</v>
      </c>
      <c r="B401" s="16" t="str">
        <f aca="false">TEXT(A401,"ddd")</f>
        <v>Tue</v>
      </c>
      <c r="C401" s="16" t="str">
        <f aca="false">TEXT(A401,"mmm")</f>
        <v>Sep</v>
      </c>
      <c r="D401" s="16" t="s">
        <v>28</v>
      </c>
      <c r="E401" s="16" t="str">
        <f aca="false">INDEX(Products!$B$2:$B$9,MATCH(D401,Products!$A$2:$A$9,0))</f>
        <v>Hot Espresso</v>
      </c>
      <c r="F401" s="17" t="n">
        <f aca="false">INDEX(Products!$C$2:$C$9,MATCH(D401,Products!$A$2:$A$9,0))</f>
        <v>4.95</v>
      </c>
      <c r="G401" s="18" t="n">
        <v>62</v>
      </c>
      <c r="H401" s="17" t="n">
        <f aca="false">F401*G401</f>
        <v>306.9</v>
      </c>
    </row>
    <row r="402" customFormat="false" ht="15" hidden="false" customHeight="false" outlineLevel="0" collapsed="false">
      <c r="A402" s="15" t="n">
        <v>45923</v>
      </c>
      <c r="B402" s="16" t="str">
        <f aca="false">TEXT(A402,"ddd")</f>
        <v>Tue</v>
      </c>
      <c r="C402" s="16" t="str">
        <f aca="false">TEXT(A402,"mmm")</f>
        <v>Sep</v>
      </c>
      <c r="D402" s="16" t="s">
        <v>30</v>
      </c>
      <c r="E402" s="16" t="str">
        <f aca="false">INDEX(Products!$B$2:$B$9,MATCH(D402,Products!$A$2:$A$9,0))</f>
        <v>Hot Espresso</v>
      </c>
      <c r="F402" s="17" t="n">
        <f aca="false">INDEX(Products!$C$2:$C$9,MATCH(D402,Products!$A$2:$A$9,0))</f>
        <v>4.75</v>
      </c>
      <c r="G402" s="18" t="n">
        <v>46</v>
      </c>
      <c r="H402" s="17" t="n">
        <f aca="false">F402*G402</f>
        <v>218.5</v>
      </c>
    </row>
    <row r="403" customFormat="false" ht="15" hidden="false" customHeight="false" outlineLevel="0" collapsed="false">
      <c r="A403" s="15" t="n">
        <v>45923</v>
      </c>
      <c r="B403" s="16" t="str">
        <f aca="false">TEXT(A403,"ddd")</f>
        <v>Tue</v>
      </c>
      <c r="C403" s="16" t="str">
        <f aca="false">TEXT(A403,"mmm")</f>
        <v>Sep</v>
      </c>
      <c r="D403" s="16" t="s">
        <v>31</v>
      </c>
      <c r="E403" s="16" t="str">
        <f aca="false">INDEX(Products!$B$2:$B$9,MATCH(D403,Products!$A$2:$A$9,0))</f>
        <v>Hot Espresso</v>
      </c>
      <c r="F403" s="17" t="n">
        <f aca="false">INDEX(Products!$C$2:$C$9,MATCH(D403,Products!$A$2:$A$9,0))</f>
        <v>5.45</v>
      </c>
      <c r="G403" s="18" t="n">
        <v>45</v>
      </c>
      <c r="H403" s="17" t="n">
        <f aca="false">F403*G403</f>
        <v>245.25</v>
      </c>
    </row>
    <row r="404" customFormat="false" ht="15" hidden="false" customHeight="false" outlineLevel="0" collapsed="false">
      <c r="A404" s="15" t="n">
        <v>45923</v>
      </c>
      <c r="B404" s="16" t="str">
        <f aca="false">TEXT(A404,"ddd")</f>
        <v>Tue</v>
      </c>
      <c r="C404" s="16" t="str">
        <f aca="false">TEXT(A404,"mmm")</f>
        <v>Sep</v>
      </c>
      <c r="D404" s="16" t="s">
        <v>32</v>
      </c>
      <c r="E404" s="16" t="str">
        <f aca="false">INDEX(Products!$B$2:$B$9,MATCH(D404,Products!$A$2:$A$9,0))</f>
        <v>Hot Espresso</v>
      </c>
      <c r="F404" s="17" t="n">
        <f aca="false">INDEX(Products!$C$2:$C$9,MATCH(D404,Products!$A$2:$A$9,0))</f>
        <v>3.75</v>
      </c>
      <c r="G404" s="18" t="n">
        <v>25</v>
      </c>
      <c r="H404" s="17" t="n">
        <f aca="false">F404*G404</f>
        <v>93.75</v>
      </c>
    </row>
    <row r="405" customFormat="false" ht="15" hidden="false" customHeight="false" outlineLevel="0" collapsed="false">
      <c r="A405" s="15" t="n">
        <v>45923</v>
      </c>
      <c r="B405" s="16" t="str">
        <f aca="false">TEXT(A405,"ddd")</f>
        <v>Tue</v>
      </c>
      <c r="C405" s="16" t="str">
        <f aca="false">TEXT(A405,"mmm")</f>
        <v>Sep</v>
      </c>
      <c r="D405" s="16" t="s">
        <v>33</v>
      </c>
      <c r="E405" s="16" t="str">
        <f aca="false">INDEX(Products!$B$2:$B$9,MATCH(D405,Products!$A$2:$A$9,0))</f>
        <v>Hot Espresso</v>
      </c>
      <c r="F405" s="17" t="n">
        <f aca="false">INDEX(Products!$C$2:$C$9,MATCH(D405,Products!$A$2:$A$9,0))</f>
        <v>5.25</v>
      </c>
      <c r="G405" s="18" t="n">
        <v>36</v>
      </c>
      <c r="H405" s="17" t="n">
        <f aca="false">F405*G405</f>
        <v>189</v>
      </c>
    </row>
    <row r="406" customFormat="false" ht="15" hidden="false" customHeight="false" outlineLevel="0" collapsed="false">
      <c r="A406" s="15" t="n">
        <v>45923</v>
      </c>
      <c r="B406" s="16" t="str">
        <f aca="false">TEXT(A406,"ddd")</f>
        <v>Tue</v>
      </c>
      <c r="C406" s="16" t="str">
        <f aca="false">TEXT(A406,"mmm")</f>
        <v>Sep</v>
      </c>
      <c r="D406" s="16" t="s">
        <v>34</v>
      </c>
      <c r="E406" s="16" t="str">
        <f aca="false">INDEX(Products!$B$2:$B$9,MATCH(D406,Products!$A$2:$A$9,0))</f>
        <v>Seasonal</v>
      </c>
      <c r="F406" s="17" t="n">
        <f aca="false">INDEX(Products!$C$2:$C$9,MATCH(D406,Products!$A$2:$A$9,0))</f>
        <v>5.75</v>
      </c>
      <c r="G406" s="18" t="n">
        <v>77</v>
      </c>
      <c r="H406" s="17" t="n">
        <f aca="false">F406*G406</f>
        <v>442.75</v>
      </c>
    </row>
    <row r="407" customFormat="false" ht="15" hidden="false" customHeight="false" outlineLevel="0" collapsed="false">
      <c r="A407" s="15" t="n">
        <v>45923</v>
      </c>
      <c r="B407" s="16" t="str">
        <f aca="false">TEXT(A407,"ddd")</f>
        <v>Tue</v>
      </c>
      <c r="C407" s="16" t="str">
        <f aca="false">TEXT(A407,"mmm")</f>
        <v>Sep</v>
      </c>
      <c r="D407" s="16" t="s">
        <v>36</v>
      </c>
      <c r="E407" s="16" t="str">
        <f aca="false">INDEX(Products!$B$2:$B$9,MATCH(D407,Products!$A$2:$A$9,0))</f>
        <v>Cold Drinks</v>
      </c>
      <c r="F407" s="17" t="n">
        <f aca="false">INDEX(Products!$C$2:$C$9,MATCH(D407,Products!$A$2:$A$9,0))</f>
        <v>3.95</v>
      </c>
      <c r="G407" s="18" t="n">
        <v>51</v>
      </c>
      <c r="H407" s="17" t="n">
        <f aca="false">F407*G407</f>
        <v>201.45</v>
      </c>
    </row>
    <row r="408" customFormat="false" ht="15" hidden="false" customHeight="false" outlineLevel="0" collapsed="false">
      <c r="A408" s="15" t="n">
        <v>45923</v>
      </c>
      <c r="B408" s="16" t="str">
        <f aca="false">TEXT(A408,"ddd")</f>
        <v>Tue</v>
      </c>
      <c r="C408" s="16" t="str">
        <f aca="false">TEXT(A408,"mmm")</f>
        <v>Sep</v>
      </c>
      <c r="D408" s="16" t="s">
        <v>38</v>
      </c>
      <c r="E408" s="16" t="str">
        <f aca="false">INDEX(Products!$B$2:$B$9,MATCH(D408,Products!$A$2:$A$9,0))</f>
        <v>Cold Drinks</v>
      </c>
      <c r="F408" s="17" t="n">
        <f aca="false">INDEX(Products!$C$2:$C$9,MATCH(D408,Products!$A$2:$A$9,0))</f>
        <v>4.45</v>
      </c>
      <c r="G408" s="18" t="n">
        <v>44</v>
      </c>
      <c r="H408" s="17" t="n">
        <f aca="false">F408*G408</f>
        <v>195.8</v>
      </c>
    </row>
    <row r="409" customFormat="false" ht="15" hidden="false" customHeight="false" outlineLevel="0" collapsed="false">
      <c r="A409" s="15" t="n">
        <v>45924</v>
      </c>
      <c r="B409" s="16" t="str">
        <f aca="false">TEXT(A409,"ddd")</f>
        <v>Wed</v>
      </c>
      <c r="C409" s="16" t="str">
        <f aca="false">TEXT(A409,"mmm")</f>
        <v>Sep</v>
      </c>
      <c r="D409" s="16" t="s">
        <v>28</v>
      </c>
      <c r="E409" s="16" t="str">
        <f aca="false">INDEX(Products!$B$2:$B$9,MATCH(D409,Products!$A$2:$A$9,0))</f>
        <v>Hot Espresso</v>
      </c>
      <c r="F409" s="17" t="n">
        <f aca="false">INDEX(Products!$C$2:$C$9,MATCH(D409,Products!$A$2:$A$9,0))</f>
        <v>4.95</v>
      </c>
      <c r="G409" s="18" t="n">
        <v>70</v>
      </c>
      <c r="H409" s="17" t="n">
        <f aca="false">F409*G409</f>
        <v>346.5</v>
      </c>
    </row>
    <row r="410" customFormat="false" ht="15" hidden="false" customHeight="false" outlineLevel="0" collapsed="false">
      <c r="A410" s="15" t="n">
        <v>45924</v>
      </c>
      <c r="B410" s="16" t="str">
        <f aca="false">TEXT(A410,"ddd")</f>
        <v>Wed</v>
      </c>
      <c r="C410" s="16" t="str">
        <f aca="false">TEXT(A410,"mmm")</f>
        <v>Sep</v>
      </c>
      <c r="D410" s="16" t="s">
        <v>30</v>
      </c>
      <c r="E410" s="16" t="str">
        <f aca="false">INDEX(Products!$B$2:$B$9,MATCH(D410,Products!$A$2:$A$9,0))</f>
        <v>Hot Espresso</v>
      </c>
      <c r="F410" s="17" t="n">
        <f aca="false">INDEX(Products!$C$2:$C$9,MATCH(D410,Products!$A$2:$A$9,0))</f>
        <v>4.75</v>
      </c>
      <c r="G410" s="18" t="n">
        <v>46</v>
      </c>
      <c r="H410" s="17" t="n">
        <f aca="false">F410*G410</f>
        <v>218.5</v>
      </c>
    </row>
    <row r="411" customFormat="false" ht="15" hidden="false" customHeight="false" outlineLevel="0" collapsed="false">
      <c r="A411" s="15" t="n">
        <v>45924</v>
      </c>
      <c r="B411" s="16" t="str">
        <f aca="false">TEXT(A411,"ddd")</f>
        <v>Wed</v>
      </c>
      <c r="C411" s="16" t="str">
        <f aca="false">TEXT(A411,"mmm")</f>
        <v>Sep</v>
      </c>
      <c r="D411" s="16" t="s">
        <v>31</v>
      </c>
      <c r="E411" s="16" t="str">
        <f aca="false">INDEX(Products!$B$2:$B$9,MATCH(D411,Products!$A$2:$A$9,0))</f>
        <v>Hot Espresso</v>
      </c>
      <c r="F411" s="17" t="n">
        <f aca="false">INDEX(Products!$C$2:$C$9,MATCH(D411,Products!$A$2:$A$9,0))</f>
        <v>5.45</v>
      </c>
      <c r="G411" s="18" t="n">
        <v>42</v>
      </c>
      <c r="H411" s="17" t="n">
        <f aca="false">F411*G411</f>
        <v>228.9</v>
      </c>
    </row>
    <row r="412" customFormat="false" ht="15" hidden="false" customHeight="false" outlineLevel="0" collapsed="false">
      <c r="A412" s="15" t="n">
        <v>45924</v>
      </c>
      <c r="B412" s="16" t="str">
        <f aca="false">TEXT(A412,"ddd")</f>
        <v>Wed</v>
      </c>
      <c r="C412" s="16" t="str">
        <f aca="false">TEXT(A412,"mmm")</f>
        <v>Sep</v>
      </c>
      <c r="D412" s="16" t="s">
        <v>32</v>
      </c>
      <c r="E412" s="16" t="str">
        <f aca="false">INDEX(Products!$B$2:$B$9,MATCH(D412,Products!$A$2:$A$9,0))</f>
        <v>Hot Espresso</v>
      </c>
      <c r="F412" s="17" t="n">
        <f aca="false">INDEX(Products!$C$2:$C$9,MATCH(D412,Products!$A$2:$A$9,0))</f>
        <v>3.75</v>
      </c>
      <c r="G412" s="18" t="n">
        <v>32</v>
      </c>
      <c r="H412" s="17" t="n">
        <f aca="false">F412*G412</f>
        <v>120</v>
      </c>
    </row>
    <row r="413" customFormat="false" ht="15" hidden="false" customHeight="false" outlineLevel="0" collapsed="false">
      <c r="A413" s="15" t="n">
        <v>45924</v>
      </c>
      <c r="B413" s="16" t="str">
        <f aca="false">TEXT(A413,"ddd")</f>
        <v>Wed</v>
      </c>
      <c r="C413" s="16" t="str">
        <f aca="false">TEXT(A413,"mmm")</f>
        <v>Sep</v>
      </c>
      <c r="D413" s="16" t="s">
        <v>33</v>
      </c>
      <c r="E413" s="16" t="str">
        <f aca="false">INDEX(Products!$B$2:$B$9,MATCH(D413,Products!$A$2:$A$9,0))</f>
        <v>Hot Espresso</v>
      </c>
      <c r="F413" s="17" t="n">
        <f aca="false">INDEX(Products!$C$2:$C$9,MATCH(D413,Products!$A$2:$A$9,0))</f>
        <v>5.25</v>
      </c>
      <c r="G413" s="18" t="n">
        <v>31</v>
      </c>
      <c r="H413" s="17" t="n">
        <f aca="false">F413*G413</f>
        <v>162.75</v>
      </c>
    </row>
    <row r="414" customFormat="false" ht="15" hidden="false" customHeight="false" outlineLevel="0" collapsed="false">
      <c r="A414" s="15" t="n">
        <v>45924</v>
      </c>
      <c r="B414" s="16" t="str">
        <f aca="false">TEXT(A414,"ddd")</f>
        <v>Wed</v>
      </c>
      <c r="C414" s="16" t="str">
        <f aca="false">TEXT(A414,"mmm")</f>
        <v>Sep</v>
      </c>
      <c r="D414" s="16" t="s">
        <v>34</v>
      </c>
      <c r="E414" s="16" t="str">
        <f aca="false">INDEX(Products!$B$2:$B$9,MATCH(D414,Products!$A$2:$A$9,0))</f>
        <v>Seasonal</v>
      </c>
      <c r="F414" s="17" t="n">
        <f aca="false">INDEX(Products!$C$2:$C$9,MATCH(D414,Products!$A$2:$A$9,0))</f>
        <v>5.75</v>
      </c>
      <c r="G414" s="18" t="n">
        <v>74</v>
      </c>
      <c r="H414" s="17" t="n">
        <f aca="false">F414*G414</f>
        <v>425.5</v>
      </c>
    </row>
    <row r="415" customFormat="false" ht="15" hidden="false" customHeight="false" outlineLevel="0" collapsed="false">
      <c r="A415" s="15" t="n">
        <v>45924</v>
      </c>
      <c r="B415" s="16" t="str">
        <f aca="false">TEXT(A415,"ddd")</f>
        <v>Wed</v>
      </c>
      <c r="C415" s="16" t="str">
        <f aca="false">TEXT(A415,"mmm")</f>
        <v>Sep</v>
      </c>
      <c r="D415" s="16" t="s">
        <v>36</v>
      </c>
      <c r="E415" s="16" t="str">
        <f aca="false">INDEX(Products!$B$2:$B$9,MATCH(D415,Products!$A$2:$A$9,0))</f>
        <v>Cold Drinks</v>
      </c>
      <c r="F415" s="17" t="n">
        <f aca="false">INDEX(Products!$C$2:$C$9,MATCH(D415,Products!$A$2:$A$9,0))</f>
        <v>3.95</v>
      </c>
      <c r="G415" s="18" t="n">
        <v>51</v>
      </c>
      <c r="H415" s="17" t="n">
        <f aca="false">F415*G415</f>
        <v>201.45</v>
      </c>
    </row>
    <row r="416" customFormat="false" ht="15" hidden="false" customHeight="false" outlineLevel="0" collapsed="false">
      <c r="A416" s="15" t="n">
        <v>45924</v>
      </c>
      <c r="B416" s="16" t="str">
        <f aca="false">TEXT(A416,"ddd")</f>
        <v>Wed</v>
      </c>
      <c r="C416" s="16" t="str">
        <f aca="false">TEXT(A416,"mmm")</f>
        <v>Sep</v>
      </c>
      <c r="D416" s="16" t="s">
        <v>38</v>
      </c>
      <c r="E416" s="16" t="str">
        <f aca="false">INDEX(Products!$B$2:$B$9,MATCH(D416,Products!$A$2:$A$9,0))</f>
        <v>Cold Drinks</v>
      </c>
      <c r="F416" s="17" t="n">
        <f aca="false">INDEX(Products!$C$2:$C$9,MATCH(D416,Products!$A$2:$A$9,0))</f>
        <v>4.45</v>
      </c>
      <c r="G416" s="18" t="n">
        <v>41</v>
      </c>
      <c r="H416" s="17" t="n">
        <f aca="false">F416*G416</f>
        <v>182.45</v>
      </c>
    </row>
    <row r="417" customFormat="false" ht="15" hidden="false" customHeight="false" outlineLevel="0" collapsed="false">
      <c r="A417" s="15" t="n">
        <v>45925</v>
      </c>
      <c r="B417" s="16" t="str">
        <f aca="false">TEXT(A417,"ddd")</f>
        <v>Thu</v>
      </c>
      <c r="C417" s="16" t="str">
        <f aca="false">TEXT(A417,"mmm")</f>
        <v>Sep</v>
      </c>
      <c r="D417" s="16" t="s">
        <v>28</v>
      </c>
      <c r="E417" s="16" t="str">
        <f aca="false">INDEX(Products!$B$2:$B$9,MATCH(D417,Products!$A$2:$A$9,0))</f>
        <v>Hot Espresso</v>
      </c>
      <c r="F417" s="17" t="n">
        <f aca="false">INDEX(Products!$C$2:$C$9,MATCH(D417,Products!$A$2:$A$9,0))</f>
        <v>4.95</v>
      </c>
      <c r="G417" s="18" t="n">
        <v>68</v>
      </c>
      <c r="H417" s="17" t="n">
        <f aca="false">F417*G417</f>
        <v>336.6</v>
      </c>
    </row>
    <row r="418" customFormat="false" ht="15" hidden="false" customHeight="false" outlineLevel="0" collapsed="false">
      <c r="A418" s="15" t="n">
        <v>45925</v>
      </c>
      <c r="B418" s="16" t="str">
        <f aca="false">TEXT(A418,"ddd")</f>
        <v>Thu</v>
      </c>
      <c r="C418" s="16" t="str">
        <f aca="false">TEXT(A418,"mmm")</f>
        <v>Sep</v>
      </c>
      <c r="D418" s="16" t="s">
        <v>30</v>
      </c>
      <c r="E418" s="16" t="str">
        <f aca="false">INDEX(Products!$B$2:$B$9,MATCH(D418,Products!$A$2:$A$9,0))</f>
        <v>Hot Espresso</v>
      </c>
      <c r="F418" s="17" t="n">
        <f aca="false">INDEX(Products!$C$2:$C$9,MATCH(D418,Products!$A$2:$A$9,0))</f>
        <v>4.75</v>
      </c>
      <c r="G418" s="18" t="n">
        <v>48</v>
      </c>
      <c r="H418" s="17" t="n">
        <f aca="false">F418*G418</f>
        <v>228</v>
      </c>
    </row>
    <row r="419" customFormat="false" ht="15" hidden="false" customHeight="false" outlineLevel="0" collapsed="false">
      <c r="A419" s="15" t="n">
        <v>45925</v>
      </c>
      <c r="B419" s="16" t="str">
        <f aca="false">TEXT(A419,"ddd")</f>
        <v>Thu</v>
      </c>
      <c r="C419" s="16" t="str">
        <f aca="false">TEXT(A419,"mmm")</f>
        <v>Sep</v>
      </c>
      <c r="D419" s="16" t="s">
        <v>31</v>
      </c>
      <c r="E419" s="16" t="str">
        <f aca="false">INDEX(Products!$B$2:$B$9,MATCH(D419,Products!$A$2:$A$9,0))</f>
        <v>Hot Espresso</v>
      </c>
      <c r="F419" s="17" t="n">
        <f aca="false">INDEX(Products!$C$2:$C$9,MATCH(D419,Products!$A$2:$A$9,0))</f>
        <v>5.45</v>
      </c>
      <c r="G419" s="18" t="n">
        <v>48</v>
      </c>
      <c r="H419" s="17" t="n">
        <f aca="false">F419*G419</f>
        <v>261.6</v>
      </c>
    </row>
    <row r="420" customFormat="false" ht="15" hidden="false" customHeight="false" outlineLevel="0" collapsed="false">
      <c r="A420" s="15" t="n">
        <v>45925</v>
      </c>
      <c r="B420" s="16" t="str">
        <f aca="false">TEXT(A420,"ddd")</f>
        <v>Thu</v>
      </c>
      <c r="C420" s="16" t="str">
        <f aca="false">TEXT(A420,"mmm")</f>
        <v>Sep</v>
      </c>
      <c r="D420" s="16" t="s">
        <v>32</v>
      </c>
      <c r="E420" s="16" t="str">
        <f aca="false">INDEX(Products!$B$2:$B$9,MATCH(D420,Products!$A$2:$A$9,0))</f>
        <v>Hot Espresso</v>
      </c>
      <c r="F420" s="17" t="n">
        <f aca="false">INDEX(Products!$C$2:$C$9,MATCH(D420,Products!$A$2:$A$9,0))</f>
        <v>3.75</v>
      </c>
      <c r="G420" s="18" t="n">
        <v>31</v>
      </c>
      <c r="H420" s="17" t="n">
        <f aca="false">F420*G420</f>
        <v>116.25</v>
      </c>
    </row>
    <row r="421" customFormat="false" ht="15" hidden="false" customHeight="false" outlineLevel="0" collapsed="false">
      <c r="A421" s="15" t="n">
        <v>45925</v>
      </c>
      <c r="B421" s="16" t="str">
        <f aca="false">TEXT(A421,"ddd")</f>
        <v>Thu</v>
      </c>
      <c r="C421" s="16" t="str">
        <f aca="false">TEXT(A421,"mmm")</f>
        <v>Sep</v>
      </c>
      <c r="D421" s="16" t="s">
        <v>33</v>
      </c>
      <c r="E421" s="16" t="str">
        <f aca="false">INDEX(Products!$B$2:$B$9,MATCH(D421,Products!$A$2:$A$9,0))</f>
        <v>Hot Espresso</v>
      </c>
      <c r="F421" s="17" t="n">
        <f aca="false">INDEX(Products!$C$2:$C$9,MATCH(D421,Products!$A$2:$A$9,0))</f>
        <v>5.25</v>
      </c>
      <c r="G421" s="18" t="n">
        <v>35</v>
      </c>
      <c r="H421" s="17" t="n">
        <f aca="false">F421*G421</f>
        <v>183.75</v>
      </c>
    </row>
    <row r="422" customFormat="false" ht="15" hidden="false" customHeight="false" outlineLevel="0" collapsed="false">
      <c r="A422" s="15" t="n">
        <v>45925</v>
      </c>
      <c r="B422" s="16" t="str">
        <f aca="false">TEXT(A422,"ddd")</f>
        <v>Thu</v>
      </c>
      <c r="C422" s="16" t="str">
        <f aca="false">TEXT(A422,"mmm")</f>
        <v>Sep</v>
      </c>
      <c r="D422" s="16" t="s">
        <v>34</v>
      </c>
      <c r="E422" s="16" t="str">
        <f aca="false">INDEX(Products!$B$2:$B$9,MATCH(D422,Products!$A$2:$A$9,0))</f>
        <v>Seasonal</v>
      </c>
      <c r="F422" s="17" t="n">
        <f aca="false">INDEX(Products!$C$2:$C$9,MATCH(D422,Products!$A$2:$A$9,0))</f>
        <v>5.75</v>
      </c>
      <c r="G422" s="18" t="n">
        <v>69</v>
      </c>
      <c r="H422" s="17" t="n">
        <f aca="false">F422*G422</f>
        <v>396.75</v>
      </c>
    </row>
    <row r="423" customFormat="false" ht="15" hidden="false" customHeight="false" outlineLevel="0" collapsed="false">
      <c r="A423" s="15" t="n">
        <v>45925</v>
      </c>
      <c r="B423" s="16" t="str">
        <f aca="false">TEXT(A423,"ddd")</f>
        <v>Thu</v>
      </c>
      <c r="C423" s="16" t="str">
        <f aca="false">TEXT(A423,"mmm")</f>
        <v>Sep</v>
      </c>
      <c r="D423" s="16" t="s">
        <v>36</v>
      </c>
      <c r="E423" s="16" t="str">
        <f aca="false">INDEX(Products!$B$2:$B$9,MATCH(D423,Products!$A$2:$A$9,0))</f>
        <v>Cold Drinks</v>
      </c>
      <c r="F423" s="17" t="n">
        <f aca="false">INDEX(Products!$C$2:$C$9,MATCH(D423,Products!$A$2:$A$9,0))</f>
        <v>3.95</v>
      </c>
      <c r="G423" s="18" t="n">
        <v>56</v>
      </c>
      <c r="H423" s="17" t="n">
        <f aca="false">F423*G423</f>
        <v>221.2</v>
      </c>
    </row>
    <row r="424" customFormat="false" ht="15" hidden="false" customHeight="false" outlineLevel="0" collapsed="false">
      <c r="A424" s="15" t="n">
        <v>45925</v>
      </c>
      <c r="B424" s="16" t="str">
        <f aca="false">TEXT(A424,"ddd")</f>
        <v>Thu</v>
      </c>
      <c r="C424" s="16" t="str">
        <f aca="false">TEXT(A424,"mmm")</f>
        <v>Sep</v>
      </c>
      <c r="D424" s="16" t="s">
        <v>38</v>
      </c>
      <c r="E424" s="16" t="str">
        <f aca="false">INDEX(Products!$B$2:$B$9,MATCH(D424,Products!$A$2:$A$9,0))</f>
        <v>Cold Drinks</v>
      </c>
      <c r="F424" s="17" t="n">
        <f aca="false">INDEX(Products!$C$2:$C$9,MATCH(D424,Products!$A$2:$A$9,0))</f>
        <v>4.45</v>
      </c>
      <c r="G424" s="18" t="n">
        <v>42</v>
      </c>
      <c r="H424" s="17" t="n">
        <f aca="false">F424*G424</f>
        <v>186.9</v>
      </c>
    </row>
    <row r="425" customFormat="false" ht="15" hidden="false" customHeight="false" outlineLevel="0" collapsed="false">
      <c r="A425" s="15" t="n">
        <v>45926</v>
      </c>
      <c r="B425" s="16" t="str">
        <f aca="false">TEXT(A425,"ddd")</f>
        <v>Fri</v>
      </c>
      <c r="C425" s="16" t="str">
        <f aca="false">TEXT(A425,"mmm")</f>
        <v>Sep</v>
      </c>
      <c r="D425" s="16" t="s">
        <v>28</v>
      </c>
      <c r="E425" s="16" t="str">
        <f aca="false">INDEX(Products!$B$2:$B$9,MATCH(D425,Products!$A$2:$A$9,0))</f>
        <v>Hot Espresso</v>
      </c>
      <c r="F425" s="17" t="n">
        <f aca="false">INDEX(Products!$C$2:$C$9,MATCH(D425,Products!$A$2:$A$9,0))</f>
        <v>4.95</v>
      </c>
      <c r="G425" s="18" t="n">
        <v>75</v>
      </c>
      <c r="H425" s="17" t="n">
        <f aca="false">F425*G425</f>
        <v>371.25</v>
      </c>
    </row>
    <row r="426" customFormat="false" ht="15" hidden="false" customHeight="false" outlineLevel="0" collapsed="false">
      <c r="A426" s="15" t="n">
        <v>45926</v>
      </c>
      <c r="B426" s="16" t="str">
        <f aca="false">TEXT(A426,"ddd")</f>
        <v>Fri</v>
      </c>
      <c r="C426" s="16" t="str">
        <f aca="false">TEXT(A426,"mmm")</f>
        <v>Sep</v>
      </c>
      <c r="D426" s="16" t="s">
        <v>30</v>
      </c>
      <c r="E426" s="16" t="str">
        <f aca="false">INDEX(Products!$B$2:$B$9,MATCH(D426,Products!$A$2:$A$9,0))</f>
        <v>Hot Espresso</v>
      </c>
      <c r="F426" s="17" t="n">
        <f aca="false">INDEX(Products!$C$2:$C$9,MATCH(D426,Products!$A$2:$A$9,0))</f>
        <v>4.75</v>
      </c>
      <c r="G426" s="18" t="n">
        <v>45</v>
      </c>
      <c r="H426" s="17" t="n">
        <f aca="false">F426*G426</f>
        <v>213.75</v>
      </c>
    </row>
    <row r="427" customFormat="false" ht="15" hidden="false" customHeight="false" outlineLevel="0" collapsed="false">
      <c r="A427" s="15" t="n">
        <v>45926</v>
      </c>
      <c r="B427" s="16" t="str">
        <f aca="false">TEXT(A427,"ddd")</f>
        <v>Fri</v>
      </c>
      <c r="C427" s="16" t="str">
        <f aca="false">TEXT(A427,"mmm")</f>
        <v>Sep</v>
      </c>
      <c r="D427" s="16" t="s">
        <v>31</v>
      </c>
      <c r="E427" s="16" t="str">
        <f aca="false">INDEX(Products!$B$2:$B$9,MATCH(D427,Products!$A$2:$A$9,0))</f>
        <v>Hot Espresso</v>
      </c>
      <c r="F427" s="17" t="n">
        <f aca="false">INDEX(Products!$C$2:$C$9,MATCH(D427,Products!$A$2:$A$9,0))</f>
        <v>5.45</v>
      </c>
      <c r="G427" s="18" t="n">
        <v>45</v>
      </c>
      <c r="H427" s="17" t="n">
        <f aca="false">F427*G427</f>
        <v>245.25</v>
      </c>
    </row>
    <row r="428" customFormat="false" ht="15" hidden="false" customHeight="false" outlineLevel="0" collapsed="false">
      <c r="A428" s="15" t="n">
        <v>45926</v>
      </c>
      <c r="B428" s="16" t="str">
        <f aca="false">TEXT(A428,"ddd")</f>
        <v>Fri</v>
      </c>
      <c r="C428" s="16" t="str">
        <f aca="false">TEXT(A428,"mmm")</f>
        <v>Sep</v>
      </c>
      <c r="D428" s="16" t="s">
        <v>32</v>
      </c>
      <c r="E428" s="16" t="str">
        <f aca="false">INDEX(Products!$B$2:$B$9,MATCH(D428,Products!$A$2:$A$9,0))</f>
        <v>Hot Espresso</v>
      </c>
      <c r="F428" s="17" t="n">
        <f aca="false">INDEX(Products!$C$2:$C$9,MATCH(D428,Products!$A$2:$A$9,0))</f>
        <v>3.75</v>
      </c>
      <c r="G428" s="18" t="n">
        <v>30</v>
      </c>
      <c r="H428" s="17" t="n">
        <f aca="false">F428*G428</f>
        <v>112.5</v>
      </c>
    </row>
    <row r="429" customFormat="false" ht="15" hidden="false" customHeight="false" outlineLevel="0" collapsed="false">
      <c r="A429" s="15" t="n">
        <v>45926</v>
      </c>
      <c r="B429" s="16" t="str">
        <f aca="false">TEXT(A429,"ddd")</f>
        <v>Fri</v>
      </c>
      <c r="C429" s="16" t="str">
        <f aca="false">TEXT(A429,"mmm")</f>
        <v>Sep</v>
      </c>
      <c r="D429" s="16" t="s">
        <v>33</v>
      </c>
      <c r="E429" s="16" t="str">
        <f aca="false">INDEX(Products!$B$2:$B$9,MATCH(D429,Products!$A$2:$A$9,0))</f>
        <v>Hot Espresso</v>
      </c>
      <c r="F429" s="17" t="n">
        <f aca="false">INDEX(Products!$C$2:$C$9,MATCH(D429,Products!$A$2:$A$9,0))</f>
        <v>5.25</v>
      </c>
      <c r="G429" s="18" t="n">
        <v>36</v>
      </c>
      <c r="H429" s="17" t="n">
        <f aca="false">F429*G429</f>
        <v>189</v>
      </c>
    </row>
    <row r="430" customFormat="false" ht="15" hidden="false" customHeight="false" outlineLevel="0" collapsed="false">
      <c r="A430" s="15" t="n">
        <v>45926</v>
      </c>
      <c r="B430" s="16" t="str">
        <f aca="false">TEXT(A430,"ddd")</f>
        <v>Fri</v>
      </c>
      <c r="C430" s="16" t="str">
        <f aca="false">TEXT(A430,"mmm")</f>
        <v>Sep</v>
      </c>
      <c r="D430" s="16" t="s">
        <v>34</v>
      </c>
      <c r="E430" s="16" t="str">
        <f aca="false">INDEX(Products!$B$2:$B$9,MATCH(D430,Products!$A$2:$A$9,0))</f>
        <v>Seasonal</v>
      </c>
      <c r="F430" s="17" t="n">
        <f aca="false">INDEX(Products!$C$2:$C$9,MATCH(D430,Products!$A$2:$A$9,0))</f>
        <v>5.75</v>
      </c>
      <c r="G430" s="18" t="n">
        <v>77</v>
      </c>
      <c r="H430" s="17" t="n">
        <f aca="false">F430*G430</f>
        <v>442.75</v>
      </c>
    </row>
    <row r="431" customFormat="false" ht="15" hidden="false" customHeight="false" outlineLevel="0" collapsed="false">
      <c r="A431" s="15" t="n">
        <v>45926</v>
      </c>
      <c r="B431" s="16" t="str">
        <f aca="false">TEXT(A431,"ddd")</f>
        <v>Fri</v>
      </c>
      <c r="C431" s="16" t="str">
        <f aca="false">TEXT(A431,"mmm")</f>
        <v>Sep</v>
      </c>
      <c r="D431" s="16" t="s">
        <v>36</v>
      </c>
      <c r="E431" s="16" t="str">
        <f aca="false">INDEX(Products!$B$2:$B$9,MATCH(D431,Products!$A$2:$A$9,0))</f>
        <v>Cold Drinks</v>
      </c>
      <c r="F431" s="17" t="n">
        <f aca="false">INDEX(Products!$C$2:$C$9,MATCH(D431,Products!$A$2:$A$9,0))</f>
        <v>3.95</v>
      </c>
      <c r="G431" s="18" t="n">
        <v>46</v>
      </c>
      <c r="H431" s="17" t="n">
        <f aca="false">F431*G431</f>
        <v>181.7</v>
      </c>
    </row>
    <row r="432" customFormat="false" ht="15" hidden="false" customHeight="false" outlineLevel="0" collapsed="false">
      <c r="A432" s="15" t="n">
        <v>45926</v>
      </c>
      <c r="B432" s="16" t="str">
        <f aca="false">TEXT(A432,"ddd")</f>
        <v>Fri</v>
      </c>
      <c r="C432" s="16" t="str">
        <f aca="false">TEXT(A432,"mmm")</f>
        <v>Sep</v>
      </c>
      <c r="D432" s="16" t="s">
        <v>38</v>
      </c>
      <c r="E432" s="16" t="str">
        <f aca="false">INDEX(Products!$B$2:$B$9,MATCH(D432,Products!$A$2:$A$9,0))</f>
        <v>Cold Drinks</v>
      </c>
      <c r="F432" s="17" t="n">
        <f aca="false">INDEX(Products!$C$2:$C$9,MATCH(D432,Products!$A$2:$A$9,0))</f>
        <v>4.45</v>
      </c>
      <c r="G432" s="18" t="n">
        <v>43</v>
      </c>
      <c r="H432" s="17" t="n">
        <f aca="false">F432*G432</f>
        <v>191.35</v>
      </c>
    </row>
    <row r="433" customFormat="false" ht="15" hidden="false" customHeight="false" outlineLevel="0" collapsed="false">
      <c r="A433" s="15" t="n">
        <v>45927</v>
      </c>
      <c r="B433" s="16" t="str">
        <f aca="false">TEXT(A433,"ddd")</f>
        <v>Sat</v>
      </c>
      <c r="C433" s="16" t="str">
        <f aca="false">TEXT(A433,"mmm")</f>
        <v>Sep</v>
      </c>
      <c r="D433" s="16" t="s">
        <v>28</v>
      </c>
      <c r="E433" s="16" t="str">
        <f aca="false">INDEX(Products!$B$2:$B$9,MATCH(D433,Products!$A$2:$A$9,0))</f>
        <v>Hot Espresso</v>
      </c>
      <c r="F433" s="17" t="n">
        <f aca="false">INDEX(Products!$C$2:$C$9,MATCH(D433,Products!$A$2:$A$9,0))</f>
        <v>4.95</v>
      </c>
      <c r="G433" s="18" t="n">
        <v>84</v>
      </c>
      <c r="H433" s="17" t="n">
        <f aca="false">F433*G433</f>
        <v>415.8</v>
      </c>
    </row>
    <row r="434" customFormat="false" ht="15" hidden="false" customHeight="false" outlineLevel="0" collapsed="false">
      <c r="A434" s="15" t="n">
        <v>45927</v>
      </c>
      <c r="B434" s="16" t="str">
        <f aca="false">TEXT(A434,"ddd")</f>
        <v>Sat</v>
      </c>
      <c r="C434" s="16" t="str">
        <f aca="false">TEXT(A434,"mmm")</f>
        <v>Sep</v>
      </c>
      <c r="D434" s="16" t="s">
        <v>30</v>
      </c>
      <c r="E434" s="16" t="str">
        <f aca="false">INDEX(Products!$B$2:$B$9,MATCH(D434,Products!$A$2:$A$9,0))</f>
        <v>Hot Espresso</v>
      </c>
      <c r="F434" s="17" t="n">
        <f aca="false">INDEX(Products!$C$2:$C$9,MATCH(D434,Products!$A$2:$A$9,0))</f>
        <v>4.75</v>
      </c>
      <c r="G434" s="18" t="n">
        <v>62</v>
      </c>
      <c r="H434" s="17" t="n">
        <f aca="false">F434*G434</f>
        <v>294.5</v>
      </c>
    </row>
    <row r="435" customFormat="false" ht="15" hidden="false" customHeight="false" outlineLevel="0" collapsed="false">
      <c r="A435" s="15" t="n">
        <v>45927</v>
      </c>
      <c r="B435" s="16" t="str">
        <f aca="false">TEXT(A435,"ddd")</f>
        <v>Sat</v>
      </c>
      <c r="C435" s="16" t="str">
        <f aca="false">TEXT(A435,"mmm")</f>
        <v>Sep</v>
      </c>
      <c r="D435" s="16" t="s">
        <v>31</v>
      </c>
      <c r="E435" s="16" t="str">
        <f aca="false">INDEX(Products!$B$2:$B$9,MATCH(D435,Products!$A$2:$A$9,0))</f>
        <v>Hot Espresso</v>
      </c>
      <c r="F435" s="17" t="n">
        <f aca="false">INDEX(Products!$C$2:$C$9,MATCH(D435,Products!$A$2:$A$9,0))</f>
        <v>5.45</v>
      </c>
      <c r="G435" s="18" t="n">
        <v>62</v>
      </c>
      <c r="H435" s="17" t="n">
        <f aca="false">F435*G435</f>
        <v>337.9</v>
      </c>
    </row>
    <row r="436" customFormat="false" ht="15" hidden="false" customHeight="false" outlineLevel="0" collapsed="false">
      <c r="A436" s="15" t="n">
        <v>45927</v>
      </c>
      <c r="B436" s="16" t="str">
        <f aca="false">TEXT(A436,"ddd")</f>
        <v>Sat</v>
      </c>
      <c r="C436" s="16" t="str">
        <f aca="false">TEXT(A436,"mmm")</f>
        <v>Sep</v>
      </c>
      <c r="D436" s="16" t="s">
        <v>32</v>
      </c>
      <c r="E436" s="16" t="str">
        <f aca="false">INDEX(Products!$B$2:$B$9,MATCH(D436,Products!$A$2:$A$9,0))</f>
        <v>Hot Espresso</v>
      </c>
      <c r="F436" s="17" t="n">
        <f aca="false">INDEX(Products!$C$2:$C$9,MATCH(D436,Products!$A$2:$A$9,0))</f>
        <v>3.75</v>
      </c>
      <c r="G436" s="18" t="n">
        <v>34</v>
      </c>
      <c r="H436" s="17" t="n">
        <f aca="false">F436*G436</f>
        <v>127.5</v>
      </c>
    </row>
    <row r="437" customFormat="false" ht="15" hidden="false" customHeight="false" outlineLevel="0" collapsed="false">
      <c r="A437" s="15" t="n">
        <v>45927</v>
      </c>
      <c r="B437" s="16" t="str">
        <f aca="false">TEXT(A437,"ddd")</f>
        <v>Sat</v>
      </c>
      <c r="C437" s="16" t="str">
        <f aca="false">TEXT(A437,"mmm")</f>
        <v>Sep</v>
      </c>
      <c r="D437" s="16" t="s">
        <v>33</v>
      </c>
      <c r="E437" s="16" t="str">
        <f aca="false">INDEX(Products!$B$2:$B$9,MATCH(D437,Products!$A$2:$A$9,0))</f>
        <v>Hot Espresso</v>
      </c>
      <c r="F437" s="17" t="n">
        <f aca="false">INDEX(Products!$C$2:$C$9,MATCH(D437,Products!$A$2:$A$9,0))</f>
        <v>5.25</v>
      </c>
      <c r="G437" s="18" t="n">
        <v>42</v>
      </c>
      <c r="H437" s="17" t="n">
        <f aca="false">F437*G437</f>
        <v>220.5</v>
      </c>
    </row>
    <row r="438" customFormat="false" ht="15" hidden="false" customHeight="false" outlineLevel="0" collapsed="false">
      <c r="A438" s="15" t="n">
        <v>45927</v>
      </c>
      <c r="B438" s="16" t="str">
        <f aca="false">TEXT(A438,"ddd")</f>
        <v>Sat</v>
      </c>
      <c r="C438" s="16" t="str">
        <f aca="false">TEXT(A438,"mmm")</f>
        <v>Sep</v>
      </c>
      <c r="D438" s="16" t="s">
        <v>34</v>
      </c>
      <c r="E438" s="16" t="str">
        <f aca="false">INDEX(Products!$B$2:$B$9,MATCH(D438,Products!$A$2:$A$9,0))</f>
        <v>Seasonal</v>
      </c>
      <c r="F438" s="17" t="n">
        <f aca="false">INDEX(Products!$C$2:$C$9,MATCH(D438,Products!$A$2:$A$9,0))</f>
        <v>5.75</v>
      </c>
      <c r="G438" s="18" t="n">
        <v>91</v>
      </c>
      <c r="H438" s="17" t="n">
        <f aca="false">F438*G438</f>
        <v>523.25</v>
      </c>
    </row>
    <row r="439" customFormat="false" ht="15" hidden="false" customHeight="false" outlineLevel="0" collapsed="false">
      <c r="A439" s="15" t="n">
        <v>45927</v>
      </c>
      <c r="B439" s="16" t="str">
        <f aca="false">TEXT(A439,"ddd")</f>
        <v>Sat</v>
      </c>
      <c r="C439" s="16" t="str">
        <f aca="false">TEXT(A439,"mmm")</f>
        <v>Sep</v>
      </c>
      <c r="D439" s="16" t="s">
        <v>36</v>
      </c>
      <c r="E439" s="16" t="str">
        <f aca="false">INDEX(Products!$B$2:$B$9,MATCH(D439,Products!$A$2:$A$9,0))</f>
        <v>Cold Drinks</v>
      </c>
      <c r="F439" s="17" t="n">
        <f aca="false">INDEX(Products!$C$2:$C$9,MATCH(D439,Products!$A$2:$A$9,0))</f>
        <v>3.95</v>
      </c>
      <c r="G439" s="18" t="n">
        <v>72</v>
      </c>
      <c r="H439" s="17" t="n">
        <f aca="false">F439*G439</f>
        <v>284.4</v>
      </c>
    </row>
    <row r="440" customFormat="false" ht="15" hidden="false" customHeight="false" outlineLevel="0" collapsed="false">
      <c r="A440" s="15" t="n">
        <v>45927</v>
      </c>
      <c r="B440" s="16" t="str">
        <f aca="false">TEXT(A440,"ddd")</f>
        <v>Sat</v>
      </c>
      <c r="C440" s="16" t="str">
        <f aca="false">TEXT(A440,"mmm")</f>
        <v>Sep</v>
      </c>
      <c r="D440" s="16" t="s">
        <v>38</v>
      </c>
      <c r="E440" s="16" t="str">
        <f aca="false">INDEX(Products!$B$2:$B$9,MATCH(D440,Products!$A$2:$A$9,0))</f>
        <v>Cold Drinks</v>
      </c>
      <c r="F440" s="17" t="n">
        <f aca="false">INDEX(Products!$C$2:$C$9,MATCH(D440,Products!$A$2:$A$9,0))</f>
        <v>4.45</v>
      </c>
      <c r="G440" s="18" t="n">
        <v>41</v>
      </c>
      <c r="H440" s="17" t="n">
        <f aca="false">F440*G440</f>
        <v>182.45</v>
      </c>
    </row>
    <row r="441" customFormat="false" ht="15" hidden="false" customHeight="false" outlineLevel="0" collapsed="false">
      <c r="A441" s="15" t="n">
        <v>45928</v>
      </c>
      <c r="B441" s="16" t="str">
        <f aca="false">TEXT(A441,"ddd")</f>
        <v>Sun</v>
      </c>
      <c r="C441" s="16" t="str">
        <f aca="false">TEXT(A441,"mmm")</f>
        <v>Sep</v>
      </c>
      <c r="D441" s="16" t="s">
        <v>28</v>
      </c>
      <c r="E441" s="16" t="str">
        <f aca="false">INDEX(Products!$B$2:$B$9,MATCH(D441,Products!$A$2:$A$9,0))</f>
        <v>Hot Espresso</v>
      </c>
      <c r="F441" s="17" t="n">
        <f aca="false">INDEX(Products!$C$2:$C$9,MATCH(D441,Products!$A$2:$A$9,0))</f>
        <v>4.95</v>
      </c>
      <c r="G441" s="18" t="n">
        <v>77</v>
      </c>
      <c r="H441" s="17" t="n">
        <f aca="false">F441*G441</f>
        <v>381.15</v>
      </c>
    </row>
    <row r="442" customFormat="false" ht="15" hidden="false" customHeight="false" outlineLevel="0" collapsed="false">
      <c r="A442" s="15" t="n">
        <v>45928</v>
      </c>
      <c r="B442" s="16" t="str">
        <f aca="false">TEXT(A442,"ddd")</f>
        <v>Sun</v>
      </c>
      <c r="C442" s="16" t="str">
        <f aca="false">TEXT(A442,"mmm")</f>
        <v>Sep</v>
      </c>
      <c r="D442" s="16" t="s">
        <v>30</v>
      </c>
      <c r="E442" s="16" t="str">
        <f aca="false">INDEX(Products!$B$2:$B$9,MATCH(D442,Products!$A$2:$A$9,0))</f>
        <v>Hot Espresso</v>
      </c>
      <c r="F442" s="17" t="n">
        <f aca="false">INDEX(Products!$C$2:$C$9,MATCH(D442,Products!$A$2:$A$9,0))</f>
        <v>4.75</v>
      </c>
      <c r="G442" s="18" t="n">
        <v>47</v>
      </c>
      <c r="H442" s="17" t="n">
        <f aca="false">F442*G442</f>
        <v>223.25</v>
      </c>
    </row>
    <row r="443" customFormat="false" ht="15" hidden="false" customHeight="false" outlineLevel="0" collapsed="false">
      <c r="A443" s="15" t="n">
        <v>45928</v>
      </c>
      <c r="B443" s="16" t="str">
        <f aca="false">TEXT(A443,"ddd")</f>
        <v>Sun</v>
      </c>
      <c r="C443" s="16" t="str">
        <f aca="false">TEXT(A443,"mmm")</f>
        <v>Sep</v>
      </c>
      <c r="D443" s="16" t="s">
        <v>31</v>
      </c>
      <c r="E443" s="16" t="str">
        <f aca="false">INDEX(Products!$B$2:$B$9,MATCH(D443,Products!$A$2:$A$9,0))</f>
        <v>Hot Espresso</v>
      </c>
      <c r="F443" s="17" t="n">
        <f aca="false">INDEX(Products!$C$2:$C$9,MATCH(D443,Products!$A$2:$A$9,0))</f>
        <v>5.45</v>
      </c>
      <c r="G443" s="18" t="n">
        <v>39</v>
      </c>
      <c r="H443" s="17" t="n">
        <f aca="false">F443*G443</f>
        <v>212.55</v>
      </c>
    </row>
    <row r="444" customFormat="false" ht="15" hidden="false" customHeight="false" outlineLevel="0" collapsed="false">
      <c r="A444" s="15" t="n">
        <v>45928</v>
      </c>
      <c r="B444" s="16" t="str">
        <f aca="false">TEXT(A444,"ddd")</f>
        <v>Sun</v>
      </c>
      <c r="C444" s="16" t="str">
        <f aca="false">TEXT(A444,"mmm")</f>
        <v>Sep</v>
      </c>
      <c r="D444" s="16" t="s">
        <v>32</v>
      </c>
      <c r="E444" s="16" t="str">
        <f aca="false">INDEX(Products!$B$2:$B$9,MATCH(D444,Products!$A$2:$A$9,0))</f>
        <v>Hot Espresso</v>
      </c>
      <c r="F444" s="17" t="n">
        <f aca="false">INDEX(Products!$C$2:$C$9,MATCH(D444,Products!$A$2:$A$9,0))</f>
        <v>3.75</v>
      </c>
      <c r="G444" s="18" t="n">
        <v>28</v>
      </c>
      <c r="H444" s="17" t="n">
        <f aca="false">F444*G444</f>
        <v>105</v>
      </c>
    </row>
    <row r="445" customFormat="false" ht="15" hidden="false" customHeight="false" outlineLevel="0" collapsed="false">
      <c r="A445" s="15" t="n">
        <v>45928</v>
      </c>
      <c r="B445" s="16" t="str">
        <f aca="false">TEXT(A445,"ddd")</f>
        <v>Sun</v>
      </c>
      <c r="C445" s="16" t="str">
        <f aca="false">TEXT(A445,"mmm")</f>
        <v>Sep</v>
      </c>
      <c r="D445" s="16" t="s">
        <v>33</v>
      </c>
      <c r="E445" s="16" t="str">
        <f aca="false">INDEX(Products!$B$2:$B$9,MATCH(D445,Products!$A$2:$A$9,0))</f>
        <v>Hot Espresso</v>
      </c>
      <c r="F445" s="17" t="n">
        <f aca="false">INDEX(Products!$C$2:$C$9,MATCH(D445,Products!$A$2:$A$9,0))</f>
        <v>5.25</v>
      </c>
      <c r="G445" s="18" t="n">
        <v>35</v>
      </c>
      <c r="H445" s="17" t="n">
        <f aca="false">F445*G445</f>
        <v>183.75</v>
      </c>
    </row>
    <row r="446" customFormat="false" ht="15" hidden="false" customHeight="false" outlineLevel="0" collapsed="false">
      <c r="A446" s="15" t="n">
        <v>45928</v>
      </c>
      <c r="B446" s="16" t="str">
        <f aca="false">TEXT(A446,"ddd")</f>
        <v>Sun</v>
      </c>
      <c r="C446" s="16" t="str">
        <f aca="false">TEXT(A446,"mmm")</f>
        <v>Sep</v>
      </c>
      <c r="D446" s="16" t="s">
        <v>34</v>
      </c>
      <c r="E446" s="16" t="str">
        <f aca="false">INDEX(Products!$B$2:$B$9,MATCH(D446,Products!$A$2:$A$9,0))</f>
        <v>Seasonal</v>
      </c>
      <c r="F446" s="17" t="n">
        <f aca="false">INDEX(Products!$C$2:$C$9,MATCH(D446,Products!$A$2:$A$9,0))</f>
        <v>5.75</v>
      </c>
      <c r="G446" s="18" t="n">
        <v>92</v>
      </c>
      <c r="H446" s="17" t="n">
        <f aca="false">F446*G446</f>
        <v>529</v>
      </c>
    </row>
    <row r="447" customFormat="false" ht="15" hidden="false" customHeight="false" outlineLevel="0" collapsed="false">
      <c r="A447" s="15" t="n">
        <v>45928</v>
      </c>
      <c r="B447" s="16" t="str">
        <f aca="false">TEXT(A447,"ddd")</f>
        <v>Sun</v>
      </c>
      <c r="C447" s="16" t="str">
        <f aca="false">TEXT(A447,"mmm")</f>
        <v>Sep</v>
      </c>
      <c r="D447" s="16" t="s">
        <v>36</v>
      </c>
      <c r="E447" s="16" t="str">
        <f aca="false">INDEX(Products!$B$2:$B$9,MATCH(D447,Products!$A$2:$A$9,0))</f>
        <v>Cold Drinks</v>
      </c>
      <c r="F447" s="17" t="n">
        <f aca="false">INDEX(Products!$C$2:$C$9,MATCH(D447,Products!$A$2:$A$9,0))</f>
        <v>3.95</v>
      </c>
      <c r="G447" s="18" t="n">
        <v>53</v>
      </c>
      <c r="H447" s="17" t="n">
        <f aca="false">F447*G447</f>
        <v>209.35</v>
      </c>
    </row>
    <row r="448" customFormat="false" ht="15" hidden="false" customHeight="false" outlineLevel="0" collapsed="false">
      <c r="A448" s="15" t="n">
        <v>45928</v>
      </c>
      <c r="B448" s="16" t="str">
        <f aca="false">TEXT(A448,"ddd")</f>
        <v>Sun</v>
      </c>
      <c r="C448" s="16" t="str">
        <f aca="false">TEXT(A448,"mmm")</f>
        <v>Sep</v>
      </c>
      <c r="D448" s="16" t="s">
        <v>38</v>
      </c>
      <c r="E448" s="16" t="str">
        <f aca="false">INDEX(Products!$B$2:$B$9,MATCH(D448,Products!$A$2:$A$9,0))</f>
        <v>Cold Drinks</v>
      </c>
      <c r="F448" s="17" t="n">
        <f aca="false">INDEX(Products!$C$2:$C$9,MATCH(D448,Products!$A$2:$A$9,0))</f>
        <v>4.45</v>
      </c>
      <c r="G448" s="18" t="n">
        <v>43</v>
      </c>
      <c r="H448" s="17" t="n">
        <f aca="false">F448*G448</f>
        <v>191.35</v>
      </c>
    </row>
    <row r="449" customFormat="false" ht="15" hidden="false" customHeight="false" outlineLevel="0" collapsed="false">
      <c r="A449" s="15" t="n">
        <v>45929</v>
      </c>
      <c r="B449" s="16" t="str">
        <f aca="false">TEXT(A449,"ddd")</f>
        <v>Mon</v>
      </c>
      <c r="C449" s="16" t="str">
        <f aca="false">TEXT(A449,"mmm")</f>
        <v>Sep</v>
      </c>
      <c r="D449" s="16" t="s">
        <v>28</v>
      </c>
      <c r="E449" s="16" t="str">
        <f aca="false">INDEX(Products!$B$2:$B$9,MATCH(D449,Products!$A$2:$A$9,0))</f>
        <v>Hot Espresso</v>
      </c>
      <c r="F449" s="17" t="n">
        <f aca="false">INDEX(Products!$C$2:$C$9,MATCH(D449,Products!$A$2:$A$9,0))</f>
        <v>4.95</v>
      </c>
      <c r="G449" s="18" t="n">
        <v>62</v>
      </c>
      <c r="H449" s="17" t="n">
        <f aca="false">F449*G449</f>
        <v>306.9</v>
      </c>
    </row>
    <row r="450" customFormat="false" ht="15" hidden="false" customHeight="false" outlineLevel="0" collapsed="false">
      <c r="A450" s="15" t="n">
        <v>45929</v>
      </c>
      <c r="B450" s="16" t="str">
        <f aca="false">TEXT(A450,"ddd")</f>
        <v>Mon</v>
      </c>
      <c r="C450" s="16" t="str">
        <f aca="false">TEXT(A450,"mmm")</f>
        <v>Sep</v>
      </c>
      <c r="D450" s="16" t="s">
        <v>30</v>
      </c>
      <c r="E450" s="16" t="str">
        <f aca="false">INDEX(Products!$B$2:$B$9,MATCH(D450,Products!$A$2:$A$9,0))</f>
        <v>Hot Espresso</v>
      </c>
      <c r="F450" s="17" t="n">
        <f aca="false">INDEX(Products!$C$2:$C$9,MATCH(D450,Products!$A$2:$A$9,0))</f>
        <v>4.75</v>
      </c>
      <c r="G450" s="18" t="n">
        <v>50</v>
      </c>
      <c r="H450" s="17" t="n">
        <f aca="false">F450*G450</f>
        <v>237.5</v>
      </c>
    </row>
    <row r="451" customFormat="false" ht="15" hidden="false" customHeight="false" outlineLevel="0" collapsed="false">
      <c r="A451" s="15" t="n">
        <v>45929</v>
      </c>
      <c r="B451" s="16" t="str">
        <f aca="false">TEXT(A451,"ddd")</f>
        <v>Mon</v>
      </c>
      <c r="C451" s="16" t="str">
        <f aca="false">TEXT(A451,"mmm")</f>
        <v>Sep</v>
      </c>
      <c r="D451" s="16" t="s">
        <v>31</v>
      </c>
      <c r="E451" s="16" t="str">
        <f aca="false">INDEX(Products!$B$2:$B$9,MATCH(D451,Products!$A$2:$A$9,0))</f>
        <v>Hot Espresso</v>
      </c>
      <c r="F451" s="17" t="n">
        <f aca="false">INDEX(Products!$C$2:$C$9,MATCH(D451,Products!$A$2:$A$9,0))</f>
        <v>5.45</v>
      </c>
      <c r="G451" s="18" t="n">
        <v>41</v>
      </c>
      <c r="H451" s="17" t="n">
        <f aca="false">F451*G451</f>
        <v>223.45</v>
      </c>
    </row>
    <row r="452" customFormat="false" ht="15" hidden="false" customHeight="false" outlineLevel="0" collapsed="false">
      <c r="A452" s="15" t="n">
        <v>45929</v>
      </c>
      <c r="B452" s="16" t="str">
        <f aca="false">TEXT(A452,"ddd")</f>
        <v>Mon</v>
      </c>
      <c r="C452" s="16" t="str">
        <f aca="false">TEXT(A452,"mmm")</f>
        <v>Sep</v>
      </c>
      <c r="D452" s="16" t="s">
        <v>32</v>
      </c>
      <c r="E452" s="16" t="str">
        <f aca="false">INDEX(Products!$B$2:$B$9,MATCH(D452,Products!$A$2:$A$9,0))</f>
        <v>Hot Espresso</v>
      </c>
      <c r="F452" s="17" t="n">
        <f aca="false">INDEX(Products!$C$2:$C$9,MATCH(D452,Products!$A$2:$A$9,0))</f>
        <v>3.75</v>
      </c>
      <c r="G452" s="18" t="n">
        <v>33</v>
      </c>
      <c r="H452" s="17" t="n">
        <f aca="false">F452*G452</f>
        <v>123.75</v>
      </c>
    </row>
    <row r="453" customFormat="false" ht="15" hidden="false" customHeight="false" outlineLevel="0" collapsed="false">
      <c r="A453" s="15" t="n">
        <v>45929</v>
      </c>
      <c r="B453" s="16" t="str">
        <f aca="false">TEXT(A453,"ddd")</f>
        <v>Mon</v>
      </c>
      <c r="C453" s="16" t="str">
        <f aca="false">TEXT(A453,"mmm")</f>
        <v>Sep</v>
      </c>
      <c r="D453" s="16" t="s">
        <v>33</v>
      </c>
      <c r="E453" s="16" t="str">
        <f aca="false">INDEX(Products!$B$2:$B$9,MATCH(D453,Products!$A$2:$A$9,0))</f>
        <v>Hot Espresso</v>
      </c>
      <c r="F453" s="17" t="n">
        <f aca="false">INDEX(Products!$C$2:$C$9,MATCH(D453,Products!$A$2:$A$9,0))</f>
        <v>5.25</v>
      </c>
      <c r="G453" s="18" t="n">
        <v>33</v>
      </c>
      <c r="H453" s="17" t="n">
        <f aca="false">F453*G453</f>
        <v>173.25</v>
      </c>
    </row>
    <row r="454" customFormat="false" ht="15" hidden="false" customHeight="false" outlineLevel="0" collapsed="false">
      <c r="A454" s="15" t="n">
        <v>45929</v>
      </c>
      <c r="B454" s="16" t="str">
        <f aca="false">TEXT(A454,"ddd")</f>
        <v>Mon</v>
      </c>
      <c r="C454" s="16" t="str">
        <f aca="false">TEXT(A454,"mmm")</f>
        <v>Sep</v>
      </c>
      <c r="D454" s="16" t="s">
        <v>34</v>
      </c>
      <c r="E454" s="16" t="str">
        <f aca="false">INDEX(Products!$B$2:$B$9,MATCH(D454,Products!$A$2:$A$9,0))</f>
        <v>Seasonal</v>
      </c>
      <c r="F454" s="17" t="n">
        <f aca="false">INDEX(Products!$C$2:$C$9,MATCH(D454,Products!$A$2:$A$9,0))</f>
        <v>5.75</v>
      </c>
      <c r="G454" s="18" t="n">
        <v>73</v>
      </c>
      <c r="H454" s="17" t="n">
        <f aca="false">F454*G454</f>
        <v>419.75</v>
      </c>
    </row>
    <row r="455" customFormat="false" ht="15" hidden="false" customHeight="false" outlineLevel="0" collapsed="false">
      <c r="A455" s="15" t="n">
        <v>45929</v>
      </c>
      <c r="B455" s="16" t="str">
        <f aca="false">TEXT(A455,"ddd")</f>
        <v>Mon</v>
      </c>
      <c r="C455" s="16" t="str">
        <f aca="false">TEXT(A455,"mmm")</f>
        <v>Sep</v>
      </c>
      <c r="D455" s="16" t="s">
        <v>36</v>
      </c>
      <c r="E455" s="16" t="str">
        <f aca="false">INDEX(Products!$B$2:$B$9,MATCH(D455,Products!$A$2:$A$9,0))</f>
        <v>Cold Drinks</v>
      </c>
      <c r="F455" s="17" t="n">
        <f aca="false">INDEX(Products!$C$2:$C$9,MATCH(D455,Products!$A$2:$A$9,0))</f>
        <v>3.95</v>
      </c>
      <c r="G455" s="18" t="n">
        <v>52</v>
      </c>
      <c r="H455" s="17" t="n">
        <f aca="false">F455*G455</f>
        <v>205.4</v>
      </c>
    </row>
    <row r="456" customFormat="false" ht="15" hidden="false" customHeight="false" outlineLevel="0" collapsed="false">
      <c r="A456" s="15" t="n">
        <v>45929</v>
      </c>
      <c r="B456" s="16" t="str">
        <f aca="false">TEXT(A456,"ddd")</f>
        <v>Mon</v>
      </c>
      <c r="C456" s="16" t="str">
        <f aca="false">TEXT(A456,"mmm")</f>
        <v>Sep</v>
      </c>
      <c r="D456" s="16" t="s">
        <v>38</v>
      </c>
      <c r="E456" s="16" t="str">
        <f aca="false">INDEX(Products!$B$2:$B$9,MATCH(D456,Products!$A$2:$A$9,0))</f>
        <v>Cold Drinks</v>
      </c>
      <c r="F456" s="17" t="n">
        <f aca="false">INDEX(Products!$C$2:$C$9,MATCH(D456,Products!$A$2:$A$9,0))</f>
        <v>4.45</v>
      </c>
      <c r="G456" s="18" t="n">
        <v>39</v>
      </c>
      <c r="H456" s="17" t="n">
        <f aca="false">F456*G456</f>
        <v>173.55</v>
      </c>
    </row>
    <row r="457" customFormat="false" ht="15" hidden="false" customHeight="false" outlineLevel="0" collapsed="false">
      <c r="A457" s="15" t="n">
        <v>45930</v>
      </c>
      <c r="B457" s="16" t="str">
        <f aca="false">TEXT(A457,"ddd")</f>
        <v>Tue</v>
      </c>
      <c r="C457" s="16" t="str">
        <f aca="false">TEXT(A457,"mmm")</f>
        <v>Sep</v>
      </c>
      <c r="D457" s="16" t="s">
        <v>28</v>
      </c>
      <c r="E457" s="16" t="str">
        <f aca="false">INDEX(Products!$B$2:$B$9,MATCH(D457,Products!$A$2:$A$9,0))</f>
        <v>Hot Espresso</v>
      </c>
      <c r="F457" s="17" t="n">
        <f aca="false">INDEX(Products!$C$2:$C$9,MATCH(D457,Products!$A$2:$A$9,0))</f>
        <v>4.95</v>
      </c>
      <c r="G457" s="18" t="n">
        <v>76</v>
      </c>
      <c r="H457" s="17" t="n">
        <f aca="false">F457*G457</f>
        <v>376.2</v>
      </c>
    </row>
    <row r="458" customFormat="false" ht="15" hidden="false" customHeight="false" outlineLevel="0" collapsed="false">
      <c r="A458" s="15" t="n">
        <v>45930</v>
      </c>
      <c r="B458" s="16" t="str">
        <f aca="false">TEXT(A458,"ddd")</f>
        <v>Tue</v>
      </c>
      <c r="C458" s="16" t="str">
        <f aca="false">TEXT(A458,"mmm")</f>
        <v>Sep</v>
      </c>
      <c r="D458" s="16" t="s">
        <v>30</v>
      </c>
      <c r="E458" s="16" t="str">
        <f aca="false">INDEX(Products!$B$2:$B$9,MATCH(D458,Products!$A$2:$A$9,0))</f>
        <v>Hot Espresso</v>
      </c>
      <c r="F458" s="17" t="n">
        <f aca="false">INDEX(Products!$C$2:$C$9,MATCH(D458,Products!$A$2:$A$9,0))</f>
        <v>4.75</v>
      </c>
      <c r="G458" s="18" t="n">
        <v>48</v>
      </c>
      <c r="H458" s="17" t="n">
        <f aca="false">F458*G458</f>
        <v>228</v>
      </c>
    </row>
    <row r="459" customFormat="false" ht="15" hidden="false" customHeight="false" outlineLevel="0" collapsed="false">
      <c r="A459" s="15" t="n">
        <v>45930</v>
      </c>
      <c r="B459" s="16" t="str">
        <f aca="false">TEXT(A459,"ddd")</f>
        <v>Tue</v>
      </c>
      <c r="C459" s="16" t="str">
        <f aca="false">TEXT(A459,"mmm")</f>
        <v>Sep</v>
      </c>
      <c r="D459" s="16" t="s">
        <v>31</v>
      </c>
      <c r="E459" s="16" t="str">
        <f aca="false">INDEX(Products!$B$2:$B$9,MATCH(D459,Products!$A$2:$A$9,0))</f>
        <v>Hot Espresso</v>
      </c>
      <c r="F459" s="17" t="n">
        <f aca="false">INDEX(Products!$C$2:$C$9,MATCH(D459,Products!$A$2:$A$9,0))</f>
        <v>5.45</v>
      </c>
      <c r="G459" s="18" t="n">
        <v>41</v>
      </c>
      <c r="H459" s="17" t="n">
        <f aca="false">F459*G459</f>
        <v>223.45</v>
      </c>
    </row>
    <row r="460" customFormat="false" ht="15" hidden="false" customHeight="false" outlineLevel="0" collapsed="false">
      <c r="A460" s="15" t="n">
        <v>45930</v>
      </c>
      <c r="B460" s="16" t="str">
        <f aca="false">TEXT(A460,"ddd")</f>
        <v>Tue</v>
      </c>
      <c r="C460" s="16" t="str">
        <f aca="false">TEXT(A460,"mmm")</f>
        <v>Sep</v>
      </c>
      <c r="D460" s="16" t="s">
        <v>32</v>
      </c>
      <c r="E460" s="16" t="str">
        <f aca="false">INDEX(Products!$B$2:$B$9,MATCH(D460,Products!$A$2:$A$9,0))</f>
        <v>Hot Espresso</v>
      </c>
      <c r="F460" s="17" t="n">
        <f aca="false">INDEX(Products!$C$2:$C$9,MATCH(D460,Products!$A$2:$A$9,0))</f>
        <v>3.75</v>
      </c>
      <c r="G460" s="18" t="n">
        <v>29</v>
      </c>
      <c r="H460" s="17" t="n">
        <f aca="false">F460*G460</f>
        <v>108.75</v>
      </c>
    </row>
    <row r="461" customFormat="false" ht="15" hidden="false" customHeight="false" outlineLevel="0" collapsed="false">
      <c r="A461" s="15" t="n">
        <v>45930</v>
      </c>
      <c r="B461" s="16" t="str">
        <f aca="false">TEXT(A461,"ddd")</f>
        <v>Tue</v>
      </c>
      <c r="C461" s="16" t="str">
        <f aca="false">TEXT(A461,"mmm")</f>
        <v>Sep</v>
      </c>
      <c r="D461" s="16" t="s">
        <v>33</v>
      </c>
      <c r="E461" s="16" t="str">
        <f aca="false">INDEX(Products!$B$2:$B$9,MATCH(D461,Products!$A$2:$A$9,0))</f>
        <v>Hot Espresso</v>
      </c>
      <c r="F461" s="17" t="n">
        <f aca="false">INDEX(Products!$C$2:$C$9,MATCH(D461,Products!$A$2:$A$9,0))</f>
        <v>5.25</v>
      </c>
      <c r="G461" s="18" t="n">
        <v>35</v>
      </c>
      <c r="H461" s="17" t="n">
        <f aca="false">F461*G461</f>
        <v>183.75</v>
      </c>
    </row>
    <row r="462" customFormat="false" ht="15" hidden="false" customHeight="false" outlineLevel="0" collapsed="false">
      <c r="A462" s="15" t="n">
        <v>45930</v>
      </c>
      <c r="B462" s="16" t="str">
        <f aca="false">TEXT(A462,"ddd")</f>
        <v>Tue</v>
      </c>
      <c r="C462" s="16" t="str">
        <f aca="false">TEXT(A462,"mmm")</f>
        <v>Sep</v>
      </c>
      <c r="D462" s="16" t="s">
        <v>34</v>
      </c>
      <c r="E462" s="16" t="str">
        <f aca="false">INDEX(Products!$B$2:$B$9,MATCH(D462,Products!$A$2:$A$9,0))</f>
        <v>Seasonal</v>
      </c>
      <c r="F462" s="17" t="n">
        <f aca="false">INDEX(Products!$C$2:$C$9,MATCH(D462,Products!$A$2:$A$9,0))</f>
        <v>5.75</v>
      </c>
      <c r="G462" s="18" t="n">
        <v>82</v>
      </c>
      <c r="H462" s="17" t="n">
        <f aca="false">F462*G462</f>
        <v>471.5</v>
      </c>
    </row>
    <row r="463" customFormat="false" ht="15" hidden="false" customHeight="false" outlineLevel="0" collapsed="false">
      <c r="A463" s="15" t="n">
        <v>45930</v>
      </c>
      <c r="B463" s="16" t="str">
        <f aca="false">TEXT(A463,"ddd")</f>
        <v>Tue</v>
      </c>
      <c r="C463" s="16" t="str">
        <f aca="false">TEXT(A463,"mmm")</f>
        <v>Sep</v>
      </c>
      <c r="D463" s="16" t="s">
        <v>36</v>
      </c>
      <c r="E463" s="16" t="str">
        <f aca="false">INDEX(Products!$B$2:$B$9,MATCH(D463,Products!$A$2:$A$9,0))</f>
        <v>Cold Drinks</v>
      </c>
      <c r="F463" s="17" t="n">
        <f aca="false">INDEX(Products!$C$2:$C$9,MATCH(D463,Products!$A$2:$A$9,0))</f>
        <v>3.95</v>
      </c>
      <c r="G463" s="18" t="n">
        <v>53</v>
      </c>
      <c r="H463" s="17" t="n">
        <f aca="false">F463*G463</f>
        <v>209.35</v>
      </c>
    </row>
    <row r="464" customFormat="false" ht="15" hidden="false" customHeight="false" outlineLevel="0" collapsed="false">
      <c r="A464" s="15" t="n">
        <v>45930</v>
      </c>
      <c r="B464" s="16" t="str">
        <f aca="false">TEXT(A464,"ddd")</f>
        <v>Tue</v>
      </c>
      <c r="C464" s="16" t="str">
        <f aca="false">TEXT(A464,"mmm")</f>
        <v>Sep</v>
      </c>
      <c r="D464" s="16" t="s">
        <v>38</v>
      </c>
      <c r="E464" s="16" t="str">
        <f aca="false">INDEX(Products!$B$2:$B$9,MATCH(D464,Products!$A$2:$A$9,0))</f>
        <v>Cold Drinks</v>
      </c>
      <c r="F464" s="17" t="n">
        <f aca="false">INDEX(Products!$C$2:$C$9,MATCH(D464,Products!$A$2:$A$9,0))</f>
        <v>4.45</v>
      </c>
      <c r="G464" s="18" t="n">
        <v>39</v>
      </c>
      <c r="H464" s="17" t="n">
        <f aca="false">F464*G464</f>
        <v>173.55</v>
      </c>
    </row>
    <row r="465" customFormat="false" ht="15" hidden="false" customHeight="false" outlineLevel="0" collapsed="false">
      <c r="A465" s="15" t="n">
        <v>45931</v>
      </c>
      <c r="B465" s="16" t="str">
        <f aca="false">TEXT(A465,"ddd")</f>
        <v>Wed</v>
      </c>
      <c r="C465" s="16" t="str">
        <f aca="false">TEXT(A465,"mmm")</f>
        <v>Oct</v>
      </c>
      <c r="D465" s="16" t="s">
        <v>28</v>
      </c>
      <c r="E465" s="16" t="str">
        <f aca="false">INDEX(Products!$B$2:$B$9,MATCH(D465,Products!$A$2:$A$9,0))</f>
        <v>Hot Espresso</v>
      </c>
      <c r="F465" s="17" t="n">
        <f aca="false">INDEX(Products!$C$2:$C$9,MATCH(D465,Products!$A$2:$A$9,0))</f>
        <v>4.95</v>
      </c>
      <c r="G465" s="18" t="n">
        <v>73</v>
      </c>
      <c r="H465" s="17" t="n">
        <f aca="false">F465*G465</f>
        <v>361.35</v>
      </c>
    </row>
    <row r="466" customFormat="false" ht="15" hidden="false" customHeight="false" outlineLevel="0" collapsed="false">
      <c r="A466" s="15" t="n">
        <v>45931</v>
      </c>
      <c r="B466" s="16" t="str">
        <f aca="false">TEXT(A466,"ddd")</f>
        <v>Wed</v>
      </c>
      <c r="C466" s="16" t="str">
        <f aca="false">TEXT(A466,"mmm")</f>
        <v>Oct</v>
      </c>
      <c r="D466" s="16" t="s">
        <v>30</v>
      </c>
      <c r="E466" s="16" t="str">
        <f aca="false">INDEX(Products!$B$2:$B$9,MATCH(D466,Products!$A$2:$A$9,0))</f>
        <v>Hot Espresso</v>
      </c>
      <c r="F466" s="17" t="n">
        <f aca="false">INDEX(Products!$C$2:$C$9,MATCH(D466,Products!$A$2:$A$9,0))</f>
        <v>4.75</v>
      </c>
      <c r="G466" s="18" t="n">
        <v>46</v>
      </c>
      <c r="H466" s="17" t="n">
        <f aca="false">F466*G466</f>
        <v>218.5</v>
      </c>
    </row>
    <row r="467" customFormat="false" ht="15" hidden="false" customHeight="false" outlineLevel="0" collapsed="false">
      <c r="A467" s="15" t="n">
        <v>45931</v>
      </c>
      <c r="B467" s="16" t="str">
        <f aca="false">TEXT(A467,"ddd")</f>
        <v>Wed</v>
      </c>
      <c r="C467" s="16" t="str">
        <f aca="false">TEXT(A467,"mmm")</f>
        <v>Oct</v>
      </c>
      <c r="D467" s="16" t="s">
        <v>31</v>
      </c>
      <c r="E467" s="16" t="str">
        <f aca="false">INDEX(Products!$B$2:$B$9,MATCH(D467,Products!$A$2:$A$9,0))</f>
        <v>Hot Espresso</v>
      </c>
      <c r="F467" s="17" t="n">
        <f aca="false">INDEX(Products!$C$2:$C$9,MATCH(D467,Products!$A$2:$A$9,0))</f>
        <v>5.45</v>
      </c>
      <c r="G467" s="18" t="n">
        <v>45</v>
      </c>
      <c r="H467" s="17" t="n">
        <f aca="false">F467*G467</f>
        <v>245.25</v>
      </c>
    </row>
    <row r="468" customFormat="false" ht="15" hidden="false" customHeight="false" outlineLevel="0" collapsed="false">
      <c r="A468" s="15" t="n">
        <v>45931</v>
      </c>
      <c r="B468" s="16" t="str">
        <f aca="false">TEXT(A468,"ddd")</f>
        <v>Wed</v>
      </c>
      <c r="C468" s="16" t="str">
        <f aca="false">TEXT(A468,"mmm")</f>
        <v>Oct</v>
      </c>
      <c r="D468" s="16" t="s">
        <v>32</v>
      </c>
      <c r="E468" s="16" t="str">
        <f aca="false">INDEX(Products!$B$2:$B$9,MATCH(D468,Products!$A$2:$A$9,0))</f>
        <v>Hot Espresso</v>
      </c>
      <c r="F468" s="17" t="n">
        <f aca="false">INDEX(Products!$C$2:$C$9,MATCH(D468,Products!$A$2:$A$9,0))</f>
        <v>3.75</v>
      </c>
      <c r="G468" s="18" t="n">
        <v>30</v>
      </c>
      <c r="H468" s="17" t="n">
        <f aca="false">F468*G468</f>
        <v>112.5</v>
      </c>
    </row>
    <row r="469" customFormat="false" ht="15" hidden="false" customHeight="false" outlineLevel="0" collapsed="false">
      <c r="A469" s="15" t="n">
        <v>45931</v>
      </c>
      <c r="B469" s="16" t="str">
        <f aca="false">TEXT(A469,"ddd")</f>
        <v>Wed</v>
      </c>
      <c r="C469" s="16" t="str">
        <f aca="false">TEXT(A469,"mmm")</f>
        <v>Oct</v>
      </c>
      <c r="D469" s="16" t="s">
        <v>33</v>
      </c>
      <c r="E469" s="16" t="str">
        <f aca="false">INDEX(Products!$B$2:$B$9,MATCH(D469,Products!$A$2:$A$9,0))</f>
        <v>Hot Espresso</v>
      </c>
      <c r="F469" s="17" t="n">
        <f aca="false">INDEX(Products!$C$2:$C$9,MATCH(D469,Products!$A$2:$A$9,0))</f>
        <v>5.25</v>
      </c>
      <c r="G469" s="18" t="n">
        <v>41</v>
      </c>
      <c r="H469" s="17" t="n">
        <f aca="false">F469*G469</f>
        <v>215.25</v>
      </c>
    </row>
    <row r="470" customFormat="false" ht="15" hidden="false" customHeight="false" outlineLevel="0" collapsed="false">
      <c r="A470" s="15" t="n">
        <v>45931</v>
      </c>
      <c r="B470" s="16" t="str">
        <f aca="false">TEXT(A470,"ddd")</f>
        <v>Wed</v>
      </c>
      <c r="C470" s="16" t="str">
        <f aca="false">TEXT(A470,"mmm")</f>
        <v>Oct</v>
      </c>
      <c r="D470" s="16" t="s">
        <v>34</v>
      </c>
      <c r="E470" s="16" t="str">
        <f aca="false">INDEX(Products!$B$2:$B$9,MATCH(D470,Products!$A$2:$A$9,0))</f>
        <v>Seasonal</v>
      </c>
      <c r="F470" s="17" t="n">
        <f aca="false">INDEX(Products!$C$2:$C$9,MATCH(D470,Products!$A$2:$A$9,0))</f>
        <v>5.75</v>
      </c>
      <c r="G470" s="18" t="n">
        <v>78</v>
      </c>
      <c r="H470" s="17" t="n">
        <f aca="false">F470*G470</f>
        <v>448.5</v>
      </c>
    </row>
    <row r="471" customFormat="false" ht="15" hidden="false" customHeight="false" outlineLevel="0" collapsed="false">
      <c r="A471" s="15" t="n">
        <v>45931</v>
      </c>
      <c r="B471" s="16" t="str">
        <f aca="false">TEXT(A471,"ddd")</f>
        <v>Wed</v>
      </c>
      <c r="C471" s="16" t="str">
        <f aca="false">TEXT(A471,"mmm")</f>
        <v>Oct</v>
      </c>
      <c r="D471" s="16" t="s">
        <v>36</v>
      </c>
      <c r="E471" s="16" t="str">
        <f aca="false">INDEX(Products!$B$2:$B$9,MATCH(D471,Products!$A$2:$A$9,0))</f>
        <v>Cold Drinks</v>
      </c>
      <c r="F471" s="17" t="n">
        <f aca="false">INDEX(Products!$C$2:$C$9,MATCH(D471,Products!$A$2:$A$9,0))</f>
        <v>3.95</v>
      </c>
      <c r="G471" s="18" t="n">
        <v>50</v>
      </c>
      <c r="H471" s="17" t="n">
        <f aca="false">F471*G471</f>
        <v>197.5</v>
      </c>
    </row>
    <row r="472" customFormat="false" ht="15" hidden="false" customHeight="false" outlineLevel="0" collapsed="false">
      <c r="A472" s="15" t="n">
        <v>45931</v>
      </c>
      <c r="B472" s="16" t="str">
        <f aca="false">TEXT(A472,"ddd")</f>
        <v>Wed</v>
      </c>
      <c r="C472" s="16" t="str">
        <f aca="false">TEXT(A472,"mmm")</f>
        <v>Oct</v>
      </c>
      <c r="D472" s="16" t="s">
        <v>38</v>
      </c>
      <c r="E472" s="16" t="str">
        <f aca="false">INDEX(Products!$B$2:$B$9,MATCH(D472,Products!$A$2:$A$9,0))</f>
        <v>Cold Drinks</v>
      </c>
      <c r="F472" s="17" t="n">
        <f aca="false">INDEX(Products!$C$2:$C$9,MATCH(D472,Products!$A$2:$A$9,0))</f>
        <v>4.45</v>
      </c>
      <c r="G472" s="18" t="n">
        <v>36</v>
      </c>
      <c r="H472" s="17" t="n">
        <f aca="false">F472*G472</f>
        <v>160.2</v>
      </c>
    </row>
    <row r="473" customFormat="false" ht="15" hidden="false" customHeight="false" outlineLevel="0" collapsed="false">
      <c r="A473" s="15" t="n">
        <v>45932</v>
      </c>
      <c r="B473" s="16" t="str">
        <f aca="false">TEXT(A473,"ddd")</f>
        <v>Thu</v>
      </c>
      <c r="C473" s="16" t="str">
        <f aca="false">TEXT(A473,"mmm")</f>
        <v>Oct</v>
      </c>
      <c r="D473" s="16" t="s">
        <v>28</v>
      </c>
      <c r="E473" s="16" t="str">
        <f aca="false">INDEX(Products!$B$2:$B$9,MATCH(D473,Products!$A$2:$A$9,0))</f>
        <v>Hot Espresso</v>
      </c>
      <c r="F473" s="17" t="n">
        <f aca="false">INDEX(Products!$C$2:$C$9,MATCH(D473,Products!$A$2:$A$9,0))</f>
        <v>4.95</v>
      </c>
      <c r="G473" s="18" t="n">
        <v>72</v>
      </c>
      <c r="H473" s="17" t="n">
        <f aca="false">F473*G473</f>
        <v>356.4</v>
      </c>
    </row>
    <row r="474" customFormat="false" ht="15" hidden="false" customHeight="false" outlineLevel="0" collapsed="false">
      <c r="A474" s="15" t="n">
        <v>45932</v>
      </c>
      <c r="B474" s="16" t="str">
        <f aca="false">TEXT(A474,"ddd")</f>
        <v>Thu</v>
      </c>
      <c r="C474" s="16" t="str">
        <f aca="false">TEXT(A474,"mmm")</f>
        <v>Oct</v>
      </c>
      <c r="D474" s="16" t="s">
        <v>30</v>
      </c>
      <c r="E474" s="16" t="str">
        <f aca="false">INDEX(Products!$B$2:$B$9,MATCH(D474,Products!$A$2:$A$9,0))</f>
        <v>Hot Espresso</v>
      </c>
      <c r="F474" s="17" t="n">
        <f aca="false">INDEX(Products!$C$2:$C$9,MATCH(D474,Products!$A$2:$A$9,0))</f>
        <v>4.75</v>
      </c>
      <c r="G474" s="18" t="n">
        <v>46</v>
      </c>
      <c r="H474" s="17" t="n">
        <f aca="false">F474*G474</f>
        <v>218.5</v>
      </c>
    </row>
    <row r="475" customFormat="false" ht="15" hidden="false" customHeight="false" outlineLevel="0" collapsed="false">
      <c r="A475" s="15" t="n">
        <v>45932</v>
      </c>
      <c r="B475" s="16" t="str">
        <f aca="false">TEXT(A475,"ddd")</f>
        <v>Thu</v>
      </c>
      <c r="C475" s="16" t="str">
        <f aca="false">TEXT(A475,"mmm")</f>
        <v>Oct</v>
      </c>
      <c r="D475" s="16" t="s">
        <v>31</v>
      </c>
      <c r="E475" s="16" t="str">
        <f aca="false">INDEX(Products!$B$2:$B$9,MATCH(D475,Products!$A$2:$A$9,0))</f>
        <v>Hot Espresso</v>
      </c>
      <c r="F475" s="17" t="n">
        <f aca="false">INDEX(Products!$C$2:$C$9,MATCH(D475,Products!$A$2:$A$9,0))</f>
        <v>5.45</v>
      </c>
      <c r="G475" s="18" t="n">
        <v>47</v>
      </c>
      <c r="H475" s="17" t="n">
        <f aca="false">F475*G475</f>
        <v>256.15</v>
      </c>
    </row>
    <row r="476" customFormat="false" ht="15" hidden="false" customHeight="false" outlineLevel="0" collapsed="false">
      <c r="A476" s="15" t="n">
        <v>45932</v>
      </c>
      <c r="B476" s="16" t="str">
        <f aca="false">TEXT(A476,"ddd")</f>
        <v>Thu</v>
      </c>
      <c r="C476" s="16" t="str">
        <f aca="false">TEXT(A476,"mmm")</f>
        <v>Oct</v>
      </c>
      <c r="D476" s="16" t="s">
        <v>32</v>
      </c>
      <c r="E476" s="16" t="str">
        <f aca="false">INDEX(Products!$B$2:$B$9,MATCH(D476,Products!$A$2:$A$9,0))</f>
        <v>Hot Espresso</v>
      </c>
      <c r="F476" s="17" t="n">
        <f aca="false">INDEX(Products!$C$2:$C$9,MATCH(D476,Products!$A$2:$A$9,0))</f>
        <v>3.75</v>
      </c>
      <c r="G476" s="18" t="n">
        <v>25</v>
      </c>
      <c r="H476" s="17" t="n">
        <f aca="false">F476*G476</f>
        <v>93.75</v>
      </c>
    </row>
    <row r="477" customFormat="false" ht="15" hidden="false" customHeight="false" outlineLevel="0" collapsed="false">
      <c r="A477" s="15" t="n">
        <v>45932</v>
      </c>
      <c r="B477" s="16" t="str">
        <f aca="false">TEXT(A477,"ddd")</f>
        <v>Thu</v>
      </c>
      <c r="C477" s="16" t="str">
        <f aca="false">TEXT(A477,"mmm")</f>
        <v>Oct</v>
      </c>
      <c r="D477" s="16" t="s">
        <v>33</v>
      </c>
      <c r="E477" s="16" t="str">
        <f aca="false">INDEX(Products!$B$2:$B$9,MATCH(D477,Products!$A$2:$A$9,0))</f>
        <v>Hot Espresso</v>
      </c>
      <c r="F477" s="17" t="n">
        <f aca="false">INDEX(Products!$C$2:$C$9,MATCH(D477,Products!$A$2:$A$9,0))</f>
        <v>5.25</v>
      </c>
      <c r="G477" s="18" t="n">
        <v>39</v>
      </c>
      <c r="H477" s="17" t="n">
        <f aca="false">F477*G477</f>
        <v>204.75</v>
      </c>
    </row>
    <row r="478" customFormat="false" ht="15" hidden="false" customHeight="false" outlineLevel="0" collapsed="false">
      <c r="A478" s="15" t="n">
        <v>45932</v>
      </c>
      <c r="B478" s="16" t="str">
        <f aca="false">TEXT(A478,"ddd")</f>
        <v>Thu</v>
      </c>
      <c r="C478" s="16" t="str">
        <f aca="false">TEXT(A478,"mmm")</f>
        <v>Oct</v>
      </c>
      <c r="D478" s="16" t="s">
        <v>34</v>
      </c>
      <c r="E478" s="16" t="str">
        <f aca="false">INDEX(Products!$B$2:$B$9,MATCH(D478,Products!$A$2:$A$9,0))</f>
        <v>Seasonal</v>
      </c>
      <c r="F478" s="17" t="n">
        <f aca="false">INDEX(Products!$C$2:$C$9,MATCH(D478,Products!$A$2:$A$9,0))</f>
        <v>5.75</v>
      </c>
      <c r="G478" s="18" t="n">
        <v>70</v>
      </c>
      <c r="H478" s="17" t="n">
        <f aca="false">F478*G478</f>
        <v>402.5</v>
      </c>
    </row>
    <row r="479" customFormat="false" ht="15" hidden="false" customHeight="false" outlineLevel="0" collapsed="false">
      <c r="A479" s="15" t="n">
        <v>45932</v>
      </c>
      <c r="B479" s="16" t="str">
        <f aca="false">TEXT(A479,"ddd")</f>
        <v>Thu</v>
      </c>
      <c r="C479" s="16" t="str">
        <f aca="false">TEXT(A479,"mmm")</f>
        <v>Oct</v>
      </c>
      <c r="D479" s="16" t="s">
        <v>36</v>
      </c>
      <c r="E479" s="16" t="str">
        <f aca="false">INDEX(Products!$B$2:$B$9,MATCH(D479,Products!$A$2:$A$9,0))</f>
        <v>Cold Drinks</v>
      </c>
      <c r="F479" s="17" t="n">
        <f aca="false">INDEX(Products!$C$2:$C$9,MATCH(D479,Products!$A$2:$A$9,0))</f>
        <v>3.95</v>
      </c>
      <c r="G479" s="18" t="n">
        <v>48</v>
      </c>
      <c r="H479" s="17" t="n">
        <f aca="false">F479*G479</f>
        <v>189.6</v>
      </c>
    </row>
    <row r="480" customFormat="false" ht="15" hidden="false" customHeight="false" outlineLevel="0" collapsed="false">
      <c r="A480" s="15" t="n">
        <v>45932</v>
      </c>
      <c r="B480" s="16" t="str">
        <f aca="false">TEXT(A480,"ddd")</f>
        <v>Thu</v>
      </c>
      <c r="C480" s="16" t="str">
        <f aca="false">TEXT(A480,"mmm")</f>
        <v>Oct</v>
      </c>
      <c r="D480" s="16" t="s">
        <v>38</v>
      </c>
      <c r="E480" s="16" t="str">
        <f aca="false">INDEX(Products!$B$2:$B$9,MATCH(D480,Products!$A$2:$A$9,0))</f>
        <v>Cold Drinks</v>
      </c>
      <c r="F480" s="17" t="n">
        <f aca="false">INDEX(Products!$C$2:$C$9,MATCH(D480,Products!$A$2:$A$9,0))</f>
        <v>4.45</v>
      </c>
      <c r="G480" s="18" t="n">
        <v>42</v>
      </c>
      <c r="H480" s="17" t="n">
        <f aca="false">F480*G480</f>
        <v>186.9</v>
      </c>
    </row>
    <row r="481" customFormat="false" ht="15" hidden="false" customHeight="false" outlineLevel="0" collapsed="false">
      <c r="A481" s="15" t="n">
        <v>45933</v>
      </c>
      <c r="B481" s="16" t="str">
        <f aca="false">TEXT(A481,"ddd")</f>
        <v>Fri</v>
      </c>
      <c r="C481" s="16" t="str">
        <f aca="false">TEXT(A481,"mmm")</f>
        <v>Oct</v>
      </c>
      <c r="D481" s="16" t="s">
        <v>28</v>
      </c>
      <c r="E481" s="16" t="str">
        <f aca="false">INDEX(Products!$B$2:$B$9,MATCH(D481,Products!$A$2:$A$9,0))</f>
        <v>Hot Espresso</v>
      </c>
      <c r="F481" s="17" t="n">
        <f aca="false">INDEX(Products!$C$2:$C$9,MATCH(D481,Products!$A$2:$A$9,0))</f>
        <v>4.95</v>
      </c>
      <c r="G481" s="18" t="n">
        <v>61</v>
      </c>
      <c r="H481" s="17" t="n">
        <f aca="false">F481*G481</f>
        <v>301.95</v>
      </c>
    </row>
    <row r="482" customFormat="false" ht="15" hidden="false" customHeight="false" outlineLevel="0" collapsed="false">
      <c r="A482" s="15" t="n">
        <v>45933</v>
      </c>
      <c r="B482" s="16" t="str">
        <f aca="false">TEXT(A482,"ddd")</f>
        <v>Fri</v>
      </c>
      <c r="C482" s="16" t="str">
        <f aca="false">TEXT(A482,"mmm")</f>
        <v>Oct</v>
      </c>
      <c r="D482" s="16" t="s">
        <v>30</v>
      </c>
      <c r="E482" s="16" t="str">
        <f aca="false">INDEX(Products!$B$2:$B$9,MATCH(D482,Products!$A$2:$A$9,0))</f>
        <v>Hot Espresso</v>
      </c>
      <c r="F482" s="17" t="n">
        <f aca="false">INDEX(Products!$C$2:$C$9,MATCH(D482,Products!$A$2:$A$9,0))</f>
        <v>4.75</v>
      </c>
      <c r="G482" s="18" t="n">
        <v>48</v>
      </c>
      <c r="H482" s="17" t="n">
        <f aca="false">F482*G482</f>
        <v>228</v>
      </c>
    </row>
    <row r="483" customFormat="false" ht="15" hidden="false" customHeight="false" outlineLevel="0" collapsed="false">
      <c r="A483" s="15" t="n">
        <v>45933</v>
      </c>
      <c r="B483" s="16" t="str">
        <f aca="false">TEXT(A483,"ddd")</f>
        <v>Fri</v>
      </c>
      <c r="C483" s="16" t="str">
        <f aca="false">TEXT(A483,"mmm")</f>
        <v>Oct</v>
      </c>
      <c r="D483" s="16" t="s">
        <v>31</v>
      </c>
      <c r="E483" s="16" t="str">
        <f aca="false">INDEX(Products!$B$2:$B$9,MATCH(D483,Products!$A$2:$A$9,0))</f>
        <v>Hot Espresso</v>
      </c>
      <c r="F483" s="17" t="n">
        <f aca="false">INDEX(Products!$C$2:$C$9,MATCH(D483,Products!$A$2:$A$9,0))</f>
        <v>5.45</v>
      </c>
      <c r="G483" s="18" t="n">
        <v>46</v>
      </c>
      <c r="H483" s="17" t="n">
        <f aca="false">F483*G483</f>
        <v>250.7</v>
      </c>
    </row>
    <row r="484" customFormat="false" ht="15" hidden="false" customHeight="false" outlineLevel="0" collapsed="false">
      <c r="A484" s="15" t="n">
        <v>45933</v>
      </c>
      <c r="B484" s="16" t="str">
        <f aca="false">TEXT(A484,"ddd")</f>
        <v>Fri</v>
      </c>
      <c r="C484" s="16" t="str">
        <f aca="false">TEXT(A484,"mmm")</f>
        <v>Oct</v>
      </c>
      <c r="D484" s="16" t="s">
        <v>32</v>
      </c>
      <c r="E484" s="16" t="str">
        <f aca="false">INDEX(Products!$B$2:$B$9,MATCH(D484,Products!$A$2:$A$9,0))</f>
        <v>Hot Espresso</v>
      </c>
      <c r="F484" s="17" t="n">
        <f aca="false">INDEX(Products!$C$2:$C$9,MATCH(D484,Products!$A$2:$A$9,0))</f>
        <v>3.75</v>
      </c>
      <c r="G484" s="18" t="n">
        <v>28</v>
      </c>
      <c r="H484" s="17" t="n">
        <f aca="false">F484*G484</f>
        <v>105</v>
      </c>
    </row>
    <row r="485" customFormat="false" ht="15" hidden="false" customHeight="false" outlineLevel="0" collapsed="false">
      <c r="A485" s="15" t="n">
        <v>45933</v>
      </c>
      <c r="B485" s="16" t="str">
        <f aca="false">TEXT(A485,"ddd")</f>
        <v>Fri</v>
      </c>
      <c r="C485" s="16" t="str">
        <f aca="false">TEXT(A485,"mmm")</f>
        <v>Oct</v>
      </c>
      <c r="D485" s="16" t="s">
        <v>33</v>
      </c>
      <c r="E485" s="16" t="str">
        <f aca="false">INDEX(Products!$B$2:$B$9,MATCH(D485,Products!$A$2:$A$9,0))</f>
        <v>Hot Espresso</v>
      </c>
      <c r="F485" s="17" t="n">
        <f aca="false">INDEX(Products!$C$2:$C$9,MATCH(D485,Products!$A$2:$A$9,0))</f>
        <v>5.25</v>
      </c>
      <c r="G485" s="18" t="n">
        <v>40</v>
      </c>
      <c r="H485" s="17" t="n">
        <f aca="false">F485*G485</f>
        <v>210</v>
      </c>
    </row>
    <row r="486" customFormat="false" ht="15" hidden="false" customHeight="false" outlineLevel="0" collapsed="false">
      <c r="A486" s="15" t="n">
        <v>45933</v>
      </c>
      <c r="B486" s="16" t="str">
        <f aca="false">TEXT(A486,"ddd")</f>
        <v>Fri</v>
      </c>
      <c r="C486" s="16" t="str">
        <f aca="false">TEXT(A486,"mmm")</f>
        <v>Oct</v>
      </c>
      <c r="D486" s="16" t="s">
        <v>34</v>
      </c>
      <c r="E486" s="16" t="str">
        <f aca="false">INDEX(Products!$B$2:$B$9,MATCH(D486,Products!$A$2:$A$9,0))</f>
        <v>Seasonal</v>
      </c>
      <c r="F486" s="17" t="n">
        <f aca="false">INDEX(Products!$C$2:$C$9,MATCH(D486,Products!$A$2:$A$9,0))</f>
        <v>5.75</v>
      </c>
      <c r="G486" s="18" t="n">
        <v>88</v>
      </c>
      <c r="H486" s="17" t="n">
        <f aca="false">F486*G486</f>
        <v>506</v>
      </c>
    </row>
    <row r="487" customFormat="false" ht="15" hidden="false" customHeight="false" outlineLevel="0" collapsed="false">
      <c r="A487" s="15" t="n">
        <v>45933</v>
      </c>
      <c r="B487" s="16" t="str">
        <f aca="false">TEXT(A487,"ddd")</f>
        <v>Fri</v>
      </c>
      <c r="C487" s="16" t="str">
        <f aca="false">TEXT(A487,"mmm")</f>
        <v>Oct</v>
      </c>
      <c r="D487" s="16" t="s">
        <v>36</v>
      </c>
      <c r="E487" s="16" t="str">
        <f aca="false">INDEX(Products!$B$2:$B$9,MATCH(D487,Products!$A$2:$A$9,0))</f>
        <v>Cold Drinks</v>
      </c>
      <c r="F487" s="17" t="n">
        <f aca="false">INDEX(Products!$C$2:$C$9,MATCH(D487,Products!$A$2:$A$9,0))</f>
        <v>3.95</v>
      </c>
      <c r="G487" s="18" t="n">
        <v>42</v>
      </c>
      <c r="H487" s="17" t="n">
        <f aca="false">F487*G487</f>
        <v>165.9</v>
      </c>
    </row>
    <row r="488" customFormat="false" ht="15" hidden="false" customHeight="false" outlineLevel="0" collapsed="false">
      <c r="A488" s="15" t="n">
        <v>45933</v>
      </c>
      <c r="B488" s="16" t="str">
        <f aca="false">TEXT(A488,"ddd")</f>
        <v>Fri</v>
      </c>
      <c r="C488" s="16" t="str">
        <f aca="false">TEXT(A488,"mmm")</f>
        <v>Oct</v>
      </c>
      <c r="D488" s="16" t="s">
        <v>38</v>
      </c>
      <c r="E488" s="16" t="str">
        <f aca="false">INDEX(Products!$B$2:$B$9,MATCH(D488,Products!$A$2:$A$9,0))</f>
        <v>Cold Drinks</v>
      </c>
      <c r="F488" s="17" t="n">
        <f aca="false">INDEX(Products!$C$2:$C$9,MATCH(D488,Products!$A$2:$A$9,0))</f>
        <v>4.45</v>
      </c>
      <c r="G488" s="18" t="n">
        <v>34</v>
      </c>
      <c r="H488" s="17" t="n">
        <f aca="false">F488*G488</f>
        <v>151.3</v>
      </c>
    </row>
    <row r="489" customFormat="false" ht="15" hidden="false" customHeight="false" outlineLevel="0" collapsed="false">
      <c r="A489" s="15" t="n">
        <v>45934</v>
      </c>
      <c r="B489" s="16" t="str">
        <f aca="false">TEXT(A489,"ddd")</f>
        <v>Sat</v>
      </c>
      <c r="C489" s="16" t="str">
        <f aca="false">TEXT(A489,"mmm")</f>
        <v>Oct</v>
      </c>
      <c r="D489" s="16" t="s">
        <v>28</v>
      </c>
      <c r="E489" s="16" t="str">
        <f aca="false">INDEX(Products!$B$2:$B$9,MATCH(D489,Products!$A$2:$A$9,0))</f>
        <v>Hot Espresso</v>
      </c>
      <c r="F489" s="17" t="n">
        <f aca="false">INDEX(Products!$C$2:$C$9,MATCH(D489,Products!$A$2:$A$9,0))</f>
        <v>4.95</v>
      </c>
      <c r="G489" s="18" t="n">
        <v>87</v>
      </c>
      <c r="H489" s="17" t="n">
        <f aca="false">F489*G489</f>
        <v>430.65</v>
      </c>
    </row>
    <row r="490" customFormat="false" ht="15" hidden="false" customHeight="false" outlineLevel="0" collapsed="false">
      <c r="A490" s="15" t="n">
        <v>45934</v>
      </c>
      <c r="B490" s="16" t="str">
        <f aca="false">TEXT(A490,"ddd")</f>
        <v>Sat</v>
      </c>
      <c r="C490" s="16" t="str">
        <f aca="false">TEXT(A490,"mmm")</f>
        <v>Oct</v>
      </c>
      <c r="D490" s="16" t="s">
        <v>30</v>
      </c>
      <c r="E490" s="16" t="str">
        <f aca="false">INDEX(Products!$B$2:$B$9,MATCH(D490,Products!$A$2:$A$9,0))</f>
        <v>Hot Espresso</v>
      </c>
      <c r="F490" s="17" t="n">
        <f aca="false">INDEX(Products!$C$2:$C$9,MATCH(D490,Products!$A$2:$A$9,0))</f>
        <v>4.75</v>
      </c>
      <c r="G490" s="18" t="n">
        <v>51</v>
      </c>
      <c r="H490" s="17" t="n">
        <f aca="false">F490*G490</f>
        <v>242.25</v>
      </c>
    </row>
    <row r="491" customFormat="false" ht="15" hidden="false" customHeight="false" outlineLevel="0" collapsed="false">
      <c r="A491" s="15" t="n">
        <v>45934</v>
      </c>
      <c r="B491" s="16" t="str">
        <f aca="false">TEXT(A491,"ddd")</f>
        <v>Sat</v>
      </c>
      <c r="C491" s="16" t="str">
        <f aca="false">TEXT(A491,"mmm")</f>
        <v>Oct</v>
      </c>
      <c r="D491" s="16" t="s">
        <v>31</v>
      </c>
      <c r="E491" s="16" t="str">
        <f aca="false">INDEX(Products!$B$2:$B$9,MATCH(D491,Products!$A$2:$A$9,0))</f>
        <v>Hot Espresso</v>
      </c>
      <c r="F491" s="17" t="n">
        <f aca="false">INDEX(Products!$C$2:$C$9,MATCH(D491,Products!$A$2:$A$9,0))</f>
        <v>5.45</v>
      </c>
      <c r="G491" s="18" t="n">
        <v>52</v>
      </c>
      <c r="H491" s="17" t="n">
        <f aca="false">F491*G491</f>
        <v>283.4</v>
      </c>
    </row>
    <row r="492" customFormat="false" ht="15" hidden="false" customHeight="false" outlineLevel="0" collapsed="false">
      <c r="A492" s="15" t="n">
        <v>45934</v>
      </c>
      <c r="B492" s="16" t="str">
        <f aca="false">TEXT(A492,"ddd")</f>
        <v>Sat</v>
      </c>
      <c r="C492" s="16" t="str">
        <f aca="false">TEXT(A492,"mmm")</f>
        <v>Oct</v>
      </c>
      <c r="D492" s="16" t="s">
        <v>32</v>
      </c>
      <c r="E492" s="16" t="str">
        <f aca="false">INDEX(Products!$B$2:$B$9,MATCH(D492,Products!$A$2:$A$9,0))</f>
        <v>Hot Espresso</v>
      </c>
      <c r="F492" s="17" t="n">
        <f aca="false">INDEX(Products!$C$2:$C$9,MATCH(D492,Products!$A$2:$A$9,0))</f>
        <v>3.75</v>
      </c>
      <c r="G492" s="18" t="n">
        <v>36</v>
      </c>
      <c r="H492" s="17" t="n">
        <f aca="false">F492*G492</f>
        <v>135</v>
      </c>
    </row>
    <row r="493" customFormat="false" ht="15" hidden="false" customHeight="false" outlineLevel="0" collapsed="false">
      <c r="A493" s="15" t="n">
        <v>45934</v>
      </c>
      <c r="B493" s="16" t="str">
        <f aca="false">TEXT(A493,"ddd")</f>
        <v>Sat</v>
      </c>
      <c r="C493" s="16" t="str">
        <f aca="false">TEXT(A493,"mmm")</f>
        <v>Oct</v>
      </c>
      <c r="D493" s="16" t="s">
        <v>33</v>
      </c>
      <c r="E493" s="16" t="str">
        <f aca="false">INDEX(Products!$B$2:$B$9,MATCH(D493,Products!$A$2:$A$9,0))</f>
        <v>Hot Espresso</v>
      </c>
      <c r="F493" s="17" t="n">
        <f aca="false">INDEX(Products!$C$2:$C$9,MATCH(D493,Products!$A$2:$A$9,0))</f>
        <v>5.25</v>
      </c>
      <c r="G493" s="18" t="n">
        <v>46</v>
      </c>
      <c r="H493" s="17" t="n">
        <f aca="false">F493*G493</f>
        <v>241.5</v>
      </c>
    </row>
    <row r="494" customFormat="false" ht="15" hidden="false" customHeight="false" outlineLevel="0" collapsed="false">
      <c r="A494" s="15" t="n">
        <v>45934</v>
      </c>
      <c r="B494" s="16" t="str">
        <f aca="false">TEXT(A494,"ddd")</f>
        <v>Sat</v>
      </c>
      <c r="C494" s="16" t="str">
        <f aca="false">TEXT(A494,"mmm")</f>
        <v>Oct</v>
      </c>
      <c r="D494" s="16" t="s">
        <v>34</v>
      </c>
      <c r="E494" s="16" t="str">
        <f aca="false">INDEX(Products!$B$2:$B$9,MATCH(D494,Products!$A$2:$A$9,0))</f>
        <v>Seasonal</v>
      </c>
      <c r="F494" s="17" t="n">
        <f aca="false">INDEX(Products!$C$2:$C$9,MATCH(D494,Products!$A$2:$A$9,0))</f>
        <v>5.75</v>
      </c>
      <c r="G494" s="18" t="n">
        <v>91</v>
      </c>
      <c r="H494" s="17" t="n">
        <f aca="false">F494*G494</f>
        <v>523.25</v>
      </c>
    </row>
    <row r="495" customFormat="false" ht="15" hidden="false" customHeight="false" outlineLevel="0" collapsed="false">
      <c r="A495" s="15" t="n">
        <v>45934</v>
      </c>
      <c r="B495" s="16" t="str">
        <f aca="false">TEXT(A495,"ddd")</f>
        <v>Sat</v>
      </c>
      <c r="C495" s="16" t="str">
        <f aca="false">TEXT(A495,"mmm")</f>
        <v>Oct</v>
      </c>
      <c r="D495" s="16" t="s">
        <v>36</v>
      </c>
      <c r="E495" s="16" t="str">
        <f aca="false">INDEX(Products!$B$2:$B$9,MATCH(D495,Products!$A$2:$A$9,0))</f>
        <v>Cold Drinks</v>
      </c>
      <c r="F495" s="17" t="n">
        <f aca="false">INDEX(Products!$C$2:$C$9,MATCH(D495,Products!$A$2:$A$9,0))</f>
        <v>3.95</v>
      </c>
      <c r="G495" s="18" t="n">
        <v>60</v>
      </c>
      <c r="H495" s="17" t="n">
        <f aca="false">F495*G495</f>
        <v>237</v>
      </c>
    </row>
    <row r="496" customFormat="false" ht="15" hidden="false" customHeight="false" outlineLevel="0" collapsed="false">
      <c r="A496" s="15" t="n">
        <v>45934</v>
      </c>
      <c r="B496" s="16" t="str">
        <f aca="false">TEXT(A496,"ddd")</f>
        <v>Sat</v>
      </c>
      <c r="C496" s="16" t="str">
        <f aca="false">TEXT(A496,"mmm")</f>
        <v>Oct</v>
      </c>
      <c r="D496" s="16" t="s">
        <v>38</v>
      </c>
      <c r="E496" s="16" t="str">
        <f aca="false">INDEX(Products!$B$2:$B$9,MATCH(D496,Products!$A$2:$A$9,0))</f>
        <v>Cold Drinks</v>
      </c>
      <c r="F496" s="17" t="n">
        <f aca="false">INDEX(Products!$C$2:$C$9,MATCH(D496,Products!$A$2:$A$9,0))</f>
        <v>4.45</v>
      </c>
      <c r="G496" s="18" t="n">
        <v>42</v>
      </c>
      <c r="H496" s="17" t="n">
        <f aca="false">F496*G496</f>
        <v>186.9</v>
      </c>
    </row>
    <row r="497" customFormat="false" ht="15" hidden="false" customHeight="false" outlineLevel="0" collapsed="false">
      <c r="A497" s="15" t="n">
        <v>45935</v>
      </c>
      <c r="B497" s="16" t="str">
        <f aca="false">TEXT(A497,"ddd")</f>
        <v>Sun</v>
      </c>
      <c r="C497" s="16" t="str">
        <f aca="false">TEXT(A497,"mmm")</f>
        <v>Oct</v>
      </c>
      <c r="D497" s="16" t="s">
        <v>28</v>
      </c>
      <c r="E497" s="16" t="str">
        <f aca="false">INDEX(Products!$B$2:$B$9,MATCH(D497,Products!$A$2:$A$9,0))</f>
        <v>Hot Espresso</v>
      </c>
      <c r="F497" s="17" t="n">
        <f aca="false">INDEX(Products!$C$2:$C$9,MATCH(D497,Products!$A$2:$A$9,0))</f>
        <v>4.95</v>
      </c>
      <c r="G497" s="18" t="n">
        <v>84</v>
      </c>
      <c r="H497" s="17" t="n">
        <f aca="false">F497*G497</f>
        <v>415.8</v>
      </c>
    </row>
    <row r="498" customFormat="false" ht="15" hidden="false" customHeight="false" outlineLevel="0" collapsed="false">
      <c r="A498" s="15" t="n">
        <v>45935</v>
      </c>
      <c r="B498" s="16" t="str">
        <f aca="false">TEXT(A498,"ddd")</f>
        <v>Sun</v>
      </c>
      <c r="C498" s="16" t="str">
        <f aca="false">TEXT(A498,"mmm")</f>
        <v>Oct</v>
      </c>
      <c r="D498" s="16" t="s">
        <v>30</v>
      </c>
      <c r="E498" s="16" t="str">
        <f aca="false">INDEX(Products!$B$2:$B$9,MATCH(D498,Products!$A$2:$A$9,0))</f>
        <v>Hot Espresso</v>
      </c>
      <c r="F498" s="17" t="n">
        <f aca="false">INDEX(Products!$C$2:$C$9,MATCH(D498,Products!$A$2:$A$9,0))</f>
        <v>4.75</v>
      </c>
      <c r="G498" s="18" t="n">
        <v>51</v>
      </c>
      <c r="H498" s="17" t="n">
        <f aca="false">F498*G498</f>
        <v>242.25</v>
      </c>
    </row>
    <row r="499" customFormat="false" ht="15" hidden="false" customHeight="false" outlineLevel="0" collapsed="false">
      <c r="A499" s="15" t="n">
        <v>45935</v>
      </c>
      <c r="B499" s="16" t="str">
        <f aca="false">TEXT(A499,"ddd")</f>
        <v>Sun</v>
      </c>
      <c r="C499" s="16" t="str">
        <f aca="false">TEXT(A499,"mmm")</f>
        <v>Oct</v>
      </c>
      <c r="D499" s="16" t="s">
        <v>31</v>
      </c>
      <c r="E499" s="16" t="str">
        <f aca="false">INDEX(Products!$B$2:$B$9,MATCH(D499,Products!$A$2:$A$9,0))</f>
        <v>Hot Espresso</v>
      </c>
      <c r="F499" s="17" t="n">
        <f aca="false">INDEX(Products!$C$2:$C$9,MATCH(D499,Products!$A$2:$A$9,0))</f>
        <v>5.45</v>
      </c>
      <c r="G499" s="18" t="n">
        <v>52</v>
      </c>
      <c r="H499" s="17" t="n">
        <f aca="false">F499*G499</f>
        <v>283.4</v>
      </c>
    </row>
    <row r="500" customFormat="false" ht="15" hidden="false" customHeight="false" outlineLevel="0" collapsed="false">
      <c r="A500" s="15" t="n">
        <v>45935</v>
      </c>
      <c r="B500" s="16" t="str">
        <f aca="false">TEXT(A500,"ddd")</f>
        <v>Sun</v>
      </c>
      <c r="C500" s="16" t="str">
        <f aca="false">TEXT(A500,"mmm")</f>
        <v>Oct</v>
      </c>
      <c r="D500" s="16" t="s">
        <v>32</v>
      </c>
      <c r="E500" s="16" t="str">
        <f aca="false">INDEX(Products!$B$2:$B$9,MATCH(D500,Products!$A$2:$A$9,0))</f>
        <v>Hot Espresso</v>
      </c>
      <c r="F500" s="17" t="n">
        <f aca="false">INDEX(Products!$C$2:$C$9,MATCH(D500,Products!$A$2:$A$9,0))</f>
        <v>3.75</v>
      </c>
      <c r="G500" s="18" t="n">
        <v>32</v>
      </c>
      <c r="H500" s="17" t="n">
        <f aca="false">F500*G500</f>
        <v>120</v>
      </c>
    </row>
    <row r="501" customFormat="false" ht="15" hidden="false" customHeight="false" outlineLevel="0" collapsed="false">
      <c r="A501" s="15" t="n">
        <v>45935</v>
      </c>
      <c r="B501" s="16" t="str">
        <f aca="false">TEXT(A501,"ddd")</f>
        <v>Sun</v>
      </c>
      <c r="C501" s="16" t="str">
        <f aca="false">TEXT(A501,"mmm")</f>
        <v>Oct</v>
      </c>
      <c r="D501" s="16" t="s">
        <v>33</v>
      </c>
      <c r="E501" s="16" t="str">
        <f aca="false">INDEX(Products!$B$2:$B$9,MATCH(D501,Products!$A$2:$A$9,0))</f>
        <v>Hot Espresso</v>
      </c>
      <c r="F501" s="17" t="n">
        <f aca="false">INDEX(Products!$C$2:$C$9,MATCH(D501,Products!$A$2:$A$9,0))</f>
        <v>5.25</v>
      </c>
      <c r="G501" s="18" t="n">
        <v>41</v>
      </c>
      <c r="H501" s="17" t="n">
        <f aca="false">F501*G501</f>
        <v>215.25</v>
      </c>
    </row>
    <row r="502" customFormat="false" ht="15" hidden="false" customHeight="false" outlineLevel="0" collapsed="false">
      <c r="A502" s="15" t="n">
        <v>45935</v>
      </c>
      <c r="B502" s="16" t="str">
        <f aca="false">TEXT(A502,"ddd")</f>
        <v>Sun</v>
      </c>
      <c r="C502" s="16" t="str">
        <f aca="false">TEXT(A502,"mmm")</f>
        <v>Oct</v>
      </c>
      <c r="D502" s="16" t="s">
        <v>34</v>
      </c>
      <c r="E502" s="16" t="str">
        <f aca="false">INDEX(Products!$B$2:$B$9,MATCH(D502,Products!$A$2:$A$9,0))</f>
        <v>Seasonal</v>
      </c>
      <c r="F502" s="17" t="n">
        <f aca="false">INDEX(Products!$C$2:$C$9,MATCH(D502,Products!$A$2:$A$9,0))</f>
        <v>5.75</v>
      </c>
      <c r="G502" s="18" t="n">
        <v>86</v>
      </c>
      <c r="H502" s="17" t="n">
        <f aca="false">F502*G502</f>
        <v>494.5</v>
      </c>
    </row>
    <row r="503" customFormat="false" ht="15" hidden="false" customHeight="false" outlineLevel="0" collapsed="false">
      <c r="A503" s="15" t="n">
        <v>45935</v>
      </c>
      <c r="B503" s="16" t="str">
        <f aca="false">TEXT(A503,"ddd")</f>
        <v>Sun</v>
      </c>
      <c r="C503" s="16" t="str">
        <f aca="false">TEXT(A503,"mmm")</f>
        <v>Oct</v>
      </c>
      <c r="D503" s="16" t="s">
        <v>36</v>
      </c>
      <c r="E503" s="16" t="str">
        <f aca="false">INDEX(Products!$B$2:$B$9,MATCH(D503,Products!$A$2:$A$9,0))</f>
        <v>Cold Drinks</v>
      </c>
      <c r="F503" s="17" t="n">
        <f aca="false">INDEX(Products!$C$2:$C$9,MATCH(D503,Products!$A$2:$A$9,0))</f>
        <v>3.95</v>
      </c>
      <c r="G503" s="18" t="n">
        <v>54</v>
      </c>
      <c r="H503" s="17" t="n">
        <f aca="false">F503*G503</f>
        <v>213.3</v>
      </c>
    </row>
    <row r="504" customFormat="false" ht="15" hidden="false" customHeight="false" outlineLevel="0" collapsed="false">
      <c r="A504" s="15" t="n">
        <v>45935</v>
      </c>
      <c r="B504" s="16" t="str">
        <f aca="false">TEXT(A504,"ddd")</f>
        <v>Sun</v>
      </c>
      <c r="C504" s="16" t="str">
        <f aca="false">TEXT(A504,"mmm")</f>
        <v>Oct</v>
      </c>
      <c r="D504" s="16" t="s">
        <v>38</v>
      </c>
      <c r="E504" s="16" t="str">
        <f aca="false">INDEX(Products!$B$2:$B$9,MATCH(D504,Products!$A$2:$A$9,0))</f>
        <v>Cold Drinks</v>
      </c>
      <c r="F504" s="17" t="n">
        <f aca="false">INDEX(Products!$C$2:$C$9,MATCH(D504,Products!$A$2:$A$9,0))</f>
        <v>4.45</v>
      </c>
      <c r="G504" s="18" t="n">
        <v>38</v>
      </c>
      <c r="H504" s="17" t="n">
        <f aca="false">F504*G504</f>
        <v>169.1</v>
      </c>
    </row>
    <row r="505" customFormat="false" ht="15" hidden="false" customHeight="false" outlineLevel="0" collapsed="false">
      <c r="A505" s="15" t="n">
        <v>45936</v>
      </c>
      <c r="B505" s="16" t="str">
        <f aca="false">TEXT(A505,"ddd")</f>
        <v>Mon</v>
      </c>
      <c r="C505" s="16" t="str">
        <f aca="false">TEXT(A505,"mmm")</f>
        <v>Oct</v>
      </c>
      <c r="D505" s="16" t="s">
        <v>28</v>
      </c>
      <c r="E505" s="16" t="str">
        <f aca="false">INDEX(Products!$B$2:$B$9,MATCH(D505,Products!$A$2:$A$9,0))</f>
        <v>Hot Espresso</v>
      </c>
      <c r="F505" s="17" t="n">
        <f aca="false">INDEX(Products!$C$2:$C$9,MATCH(D505,Products!$A$2:$A$9,0))</f>
        <v>4.95</v>
      </c>
      <c r="G505" s="18" t="n">
        <v>74</v>
      </c>
      <c r="H505" s="17" t="n">
        <f aca="false">F505*G505</f>
        <v>366.3</v>
      </c>
    </row>
    <row r="506" customFormat="false" ht="15" hidden="false" customHeight="false" outlineLevel="0" collapsed="false">
      <c r="A506" s="15" t="n">
        <v>45936</v>
      </c>
      <c r="B506" s="16" t="str">
        <f aca="false">TEXT(A506,"ddd")</f>
        <v>Mon</v>
      </c>
      <c r="C506" s="16" t="str">
        <f aca="false">TEXT(A506,"mmm")</f>
        <v>Oct</v>
      </c>
      <c r="D506" s="16" t="s">
        <v>30</v>
      </c>
      <c r="E506" s="16" t="str">
        <f aca="false">INDEX(Products!$B$2:$B$9,MATCH(D506,Products!$A$2:$A$9,0))</f>
        <v>Hot Espresso</v>
      </c>
      <c r="F506" s="17" t="n">
        <f aca="false">INDEX(Products!$C$2:$C$9,MATCH(D506,Products!$A$2:$A$9,0))</f>
        <v>4.75</v>
      </c>
      <c r="G506" s="18" t="n">
        <v>53</v>
      </c>
      <c r="H506" s="17" t="n">
        <f aca="false">F506*G506</f>
        <v>251.75</v>
      </c>
    </row>
    <row r="507" customFormat="false" ht="15" hidden="false" customHeight="false" outlineLevel="0" collapsed="false">
      <c r="A507" s="15" t="n">
        <v>45936</v>
      </c>
      <c r="B507" s="16" t="str">
        <f aca="false">TEXT(A507,"ddd")</f>
        <v>Mon</v>
      </c>
      <c r="C507" s="16" t="str">
        <f aca="false">TEXT(A507,"mmm")</f>
        <v>Oct</v>
      </c>
      <c r="D507" s="16" t="s">
        <v>31</v>
      </c>
      <c r="E507" s="16" t="str">
        <f aca="false">INDEX(Products!$B$2:$B$9,MATCH(D507,Products!$A$2:$A$9,0))</f>
        <v>Hot Espresso</v>
      </c>
      <c r="F507" s="17" t="n">
        <f aca="false">INDEX(Products!$C$2:$C$9,MATCH(D507,Products!$A$2:$A$9,0))</f>
        <v>5.45</v>
      </c>
      <c r="G507" s="18" t="n">
        <v>47</v>
      </c>
      <c r="H507" s="17" t="n">
        <f aca="false">F507*G507</f>
        <v>256.15</v>
      </c>
    </row>
    <row r="508" customFormat="false" ht="15" hidden="false" customHeight="false" outlineLevel="0" collapsed="false">
      <c r="A508" s="15" t="n">
        <v>45936</v>
      </c>
      <c r="B508" s="16" t="str">
        <f aca="false">TEXT(A508,"ddd")</f>
        <v>Mon</v>
      </c>
      <c r="C508" s="16" t="str">
        <f aca="false">TEXT(A508,"mmm")</f>
        <v>Oct</v>
      </c>
      <c r="D508" s="16" t="s">
        <v>32</v>
      </c>
      <c r="E508" s="16" t="str">
        <f aca="false">INDEX(Products!$B$2:$B$9,MATCH(D508,Products!$A$2:$A$9,0))</f>
        <v>Hot Espresso</v>
      </c>
      <c r="F508" s="17" t="n">
        <f aca="false">INDEX(Products!$C$2:$C$9,MATCH(D508,Products!$A$2:$A$9,0))</f>
        <v>3.75</v>
      </c>
      <c r="G508" s="18" t="n">
        <v>32</v>
      </c>
      <c r="H508" s="17" t="n">
        <f aca="false">F508*G508</f>
        <v>120</v>
      </c>
    </row>
    <row r="509" customFormat="false" ht="15" hidden="false" customHeight="false" outlineLevel="0" collapsed="false">
      <c r="A509" s="15" t="n">
        <v>45936</v>
      </c>
      <c r="B509" s="16" t="str">
        <f aca="false">TEXT(A509,"ddd")</f>
        <v>Mon</v>
      </c>
      <c r="C509" s="16" t="str">
        <f aca="false">TEXT(A509,"mmm")</f>
        <v>Oct</v>
      </c>
      <c r="D509" s="16" t="s">
        <v>33</v>
      </c>
      <c r="E509" s="16" t="str">
        <f aca="false">INDEX(Products!$B$2:$B$9,MATCH(D509,Products!$A$2:$A$9,0))</f>
        <v>Hot Espresso</v>
      </c>
      <c r="F509" s="17" t="n">
        <f aca="false">INDEX(Products!$C$2:$C$9,MATCH(D509,Products!$A$2:$A$9,0))</f>
        <v>5.25</v>
      </c>
      <c r="G509" s="18" t="n">
        <v>39</v>
      </c>
      <c r="H509" s="17" t="n">
        <f aca="false">F509*G509</f>
        <v>204.75</v>
      </c>
    </row>
    <row r="510" customFormat="false" ht="15" hidden="false" customHeight="false" outlineLevel="0" collapsed="false">
      <c r="A510" s="15" t="n">
        <v>45936</v>
      </c>
      <c r="B510" s="16" t="str">
        <f aca="false">TEXT(A510,"ddd")</f>
        <v>Mon</v>
      </c>
      <c r="C510" s="16" t="str">
        <f aca="false">TEXT(A510,"mmm")</f>
        <v>Oct</v>
      </c>
      <c r="D510" s="16" t="s">
        <v>34</v>
      </c>
      <c r="E510" s="16" t="str">
        <f aca="false">INDEX(Products!$B$2:$B$9,MATCH(D510,Products!$A$2:$A$9,0))</f>
        <v>Seasonal</v>
      </c>
      <c r="F510" s="17" t="n">
        <f aca="false">INDEX(Products!$C$2:$C$9,MATCH(D510,Products!$A$2:$A$9,0))</f>
        <v>5.75</v>
      </c>
      <c r="G510" s="18" t="n">
        <v>85</v>
      </c>
      <c r="H510" s="17" t="n">
        <f aca="false">F510*G510</f>
        <v>488.75</v>
      </c>
    </row>
    <row r="511" customFormat="false" ht="15" hidden="false" customHeight="false" outlineLevel="0" collapsed="false">
      <c r="A511" s="15" t="n">
        <v>45936</v>
      </c>
      <c r="B511" s="16" t="str">
        <f aca="false">TEXT(A511,"ddd")</f>
        <v>Mon</v>
      </c>
      <c r="C511" s="16" t="str">
        <f aca="false">TEXT(A511,"mmm")</f>
        <v>Oct</v>
      </c>
      <c r="D511" s="16" t="s">
        <v>36</v>
      </c>
      <c r="E511" s="16" t="str">
        <f aca="false">INDEX(Products!$B$2:$B$9,MATCH(D511,Products!$A$2:$A$9,0))</f>
        <v>Cold Drinks</v>
      </c>
      <c r="F511" s="17" t="n">
        <f aca="false">INDEX(Products!$C$2:$C$9,MATCH(D511,Products!$A$2:$A$9,0))</f>
        <v>3.95</v>
      </c>
      <c r="G511" s="18" t="n">
        <v>51</v>
      </c>
      <c r="H511" s="17" t="n">
        <f aca="false">F511*G511</f>
        <v>201.45</v>
      </c>
    </row>
    <row r="512" customFormat="false" ht="15" hidden="false" customHeight="false" outlineLevel="0" collapsed="false">
      <c r="A512" s="15" t="n">
        <v>45936</v>
      </c>
      <c r="B512" s="16" t="str">
        <f aca="false">TEXT(A512,"ddd")</f>
        <v>Mon</v>
      </c>
      <c r="C512" s="16" t="str">
        <f aca="false">TEXT(A512,"mmm")</f>
        <v>Oct</v>
      </c>
      <c r="D512" s="16" t="s">
        <v>38</v>
      </c>
      <c r="E512" s="16" t="str">
        <f aca="false">INDEX(Products!$B$2:$B$9,MATCH(D512,Products!$A$2:$A$9,0))</f>
        <v>Cold Drinks</v>
      </c>
      <c r="F512" s="17" t="n">
        <f aca="false">INDEX(Products!$C$2:$C$9,MATCH(D512,Products!$A$2:$A$9,0))</f>
        <v>4.45</v>
      </c>
      <c r="G512" s="18" t="n">
        <v>38</v>
      </c>
      <c r="H512" s="17" t="n">
        <f aca="false">F512*G512</f>
        <v>169.1</v>
      </c>
    </row>
    <row r="513" customFormat="false" ht="15" hidden="false" customHeight="false" outlineLevel="0" collapsed="false">
      <c r="A513" s="15" t="n">
        <v>45937</v>
      </c>
      <c r="B513" s="16" t="str">
        <f aca="false">TEXT(A513,"ddd")</f>
        <v>Tue</v>
      </c>
      <c r="C513" s="16" t="str">
        <f aca="false">TEXT(A513,"mmm")</f>
        <v>Oct</v>
      </c>
      <c r="D513" s="16" t="s">
        <v>28</v>
      </c>
      <c r="E513" s="16" t="str">
        <f aca="false">INDEX(Products!$B$2:$B$9,MATCH(D513,Products!$A$2:$A$9,0))</f>
        <v>Hot Espresso</v>
      </c>
      <c r="F513" s="17" t="n">
        <f aca="false">INDEX(Products!$C$2:$C$9,MATCH(D513,Products!$A$2:$A$9,0))</f>
        <v>4.95</v>
      </c>
      <c r="G513" s="18" t="n">
        <v>74</v>
      </c>
      <c r="H513" s="17" t="n">
        <f aca="false">F513*G513</f>
        <v>366.3</v>
      </c>
    </row>
    <row r="514" customFormat="false" ht="15" hidden="false" customHeight="false" outlineLevel="0" collapsed="false">
      <c r="A514" s="15" t="n">
        <v>45937</v>
      </c>
      <c r="B514" s="16" t="str">
        <f aca="false">TEXT(A514,"ddd")</f>
        <v>Tue</v>
      </c>
      <c r="C514" s="16" t="str">
        <f aca="false">TEXT(A514,"mmm")</f>
        <v>Oct</v>
      </c>
      <c r="D514" s="16" t="s">
        <v>30</v>
      </c>
      <c r="E514" s="16" t="str">
        <f aca="false">INDEX(Products!$B$2:$B$9,MATCH(D514,Products!$A$2:$A$9,0))</f>
        <v>Hot Espresso</v>
      </c>
      <c r="F514" s="17" t="n">
        <f aca="false">INDEX(Products!$C$2:$C$9,MATCH(D514,Products!$A$2:$A$9,0))</f>
        <v>4.75</v>
      </c>
      <c r="G514" s="18" t="n">
        <v>48</v>
      </c>
      <c r="H514" s="17" t="n">
        <f aca="false">F514*G514</f>
        <v>228</v>
      </c>
    </row>
    <row r="515" customFormat="false" ht="15" hidden="false" customHeight="false" outlineLevel="0" collapsed="false">
      <c r="A515" s="15" t="n">
        <v>45937</v>
      </c>
      <c r="B515" s="16" t="str">
        <f aca="false">TEXT(A515,"ddd")</f>
        <v>Tue</v>
      </c>
      <c r="C515" s="16" t="str">
        <f aca="false">TEXT(A515,"mmm")</f>
        <v>Oct</v>
      </c>
      <c r="D515" s="16" t="s">
        <v>31</v>
      </c>
      <c r="E515" s="16" t="str">
        <f aca="false">INDEX(Products!$B$2:$B$9,MATCH(D515,Products!$A$2:$A$9,0))</f>
        <v>Hot Espresso</v>
      </c>
      <c r="F515" s="17" t="n">
        <f aca="false">INDEX(Products!$C$2:$C$9,MATCH(D515,Products!$A$2:$A$9,0))</f>
        <v>5.45</v>
      </c>
      <c r="G515" s="18" t="n">
        <v>42</v>
      </c>
      <c r="H515" s="17" t="n">
        <f aca="false">F515*G515</f>
        <v>228.9</v>
      </c>
    </row>
    <row r="516" customFormat="false" ht="15" hidden="false" customHeight="false" outlineLevel="0" collapsed="false">
      <c r="A516" s="15" t="n">
        <v>45937</v>
      </c>
      <c r="B516" s="16" t="str">
        <f aca="false">TEXT(A516,"ddd")</f>
        <v>Tue</v>
      </c>
      <c r="C516" s="16" t="str">
        <f aca="false">TEXT(A516,"mmm")</f>
        <v>Oct</v>
      </c>
      <c r="D516" s="16" t="s">
        <v>32</v>
      </c>
      <c r="E516" s="16" t="str">
        <f aca="false">INDEX(Products!$B$2:$B$9,MATCH(D516,Products!$A$2:$A$9,0))</f>
        <v>Hot Espresso</v>
      </c>
      <c r="F516" s="17" t="n">
        <f aca="false">INDEX(Products!$C$2:$C$9,MATCH(D516,Products!$A$2:$A$9,0))</f>
        <v>3.75</v>
      </c>
      <c r="G516" s="18" t="n">
        <v>30</v>
      </c>
      <c r="H516" s="17" t="n">
        <f aca="false">F516*G516</f>
        <v>112.5</v>
      </c>
    </row>
    <row r="517" customFormat="false" ht="15" hidden="false" customHeight="false" outlineLevel="0" collapsed="false">
      <c r="A517" s="15" t="n">
        <v>45937</v>
      </c>
      <c r="B517" s="16" t="str">
        <f aca="false">TEXT(A517,"ddd")</f>
        <v>Tue</v>
      </c>
      <c r="C517" s="16" t="str">
        <f aca="false">TEXT(A517,"mmm")</f>
        <v>Oct</v>
      </c>
      <c r="D517" s="16" t="s">
        <v>33</v>
      </c>
      <c r="E517" s="16" t="str">
        <f aca="false">INDEX(Products!$B$2:$B$9,MATCH(D517,Products!$A$2:$A$9,0))</f>
        <v>Hot Espresso</v>
      </c>
      <c r="F517" s="17" t="n">
        <f aca="false">INDEX(Products!$C$2:$C$9,MATCH(D517,Products!$A$2:$A$9,0))</f>
        <v>5.25</v>
      </c>
      <c r="G517" s="18" t="n">
        <v>31</v>
      </c>
      <c r="H517" s="17" t="n">
        <f aca="false">F517*G517</f>
        <v>162.75</v>
      </c>
    </row>
    <row r="518" customFormat="false" ht="15" hidden="false" customHeight="false" outlineLevel="0" collapsed="false">
      <c r="A518" s="15" t="n">
        <v>45937</v>
      </c>
      <c r="B518" s="16" t="str">
        <f aca="false">TEXT(A518,"ddd")</f>
        <v>Tue</v>
      </c>
      <c r="C518" s="16" t="str">
        <f aca="false">TEXT(A518,"mmm")</f>
        <v>Oct</v>
      </c>
      <c r="D518" s="16" t="s">
        <v>34</v>
      </c>
      <c r="E518" s="16" t="str">
        <f aca="false">INDEX(Products!$B$2:$B$9,MATCH(D518,Products!$A$2:$A$9,0))</f>
        <v>Seasonal</v>
      </c>
      <c r="F518" s="17" t="n">
        <f aca="false">INDEX(Products!$C$2:$C$9,MATCH(D518,Products!$A$2:$A$9,0))</f>
        <v>5.75</v>
      </c>
      <c r="G518" s="18" t="n">
        <v>80</v>
      </c>
      <c r="H518" s="17" t="n">
        <f aca="false">F518*G518</f>
        <v>460</v>
      </c>
    </row>
    <row r="519" customFormat="false" ht="15" hidden="false" customHeight="false" outlineLevel="0" collapsed="false">
      <c r="A519" s="15" t="n">
        <v>45937</v>
      </c>
      <c r="B519" s="16" t="str">
        <f aca="false">TEXT(A519,"ddd")</f>
        <v>Tue</v>
      </c>
      <c r="C519" s="16" t="str">
        <f aca="false">TEXT(A519,"mmm")</f>
        <v>Oct</v>
      </c>
      <c r="D519" s="16" t="s">
        <v>36</v>
      </c>
      <c r="E519" s="16" t="str">
        <f aca="false">INDEX(Products!$B$2:$B$9,MATCH(D519,Products!$A$2:$A$9,0))</f>
        <v>Cold Drinks</v>
      </c>
      <c r="F519" s="17" t="n">
        <f aca="false">INDEX(Products!$C$2:$C$9,MATCH(D519,Products!$A$2:$A$9,0))</f>
        <v>3.95</v>
      </c>
      <c r="G519" s="18" t="n">
        <v>51</v>
      </c>
      <c r="H519" s="17" t="n">
        <f aca="false">F519*G519</f>
        <v>201.45</v>
      </c>
    </row>
    <row r="520" customFormat="false" ht="15" hidden="false" customHeight="false" outlineLevel="0" collapsed="false">
      <c r="A520" s="15" t="n">
        <v>45937</v>
      </c>
      <c r="B520" s="16" t="str">
        <f aca="false">TEXT(A520,"ddd")</f>
        <v>Tue</v>
      </c>
      <c r="C520" s="16" t="str">
        <f aca="false">TEXT(A520,"mmm")</f>
        <v>Oct</v>
      </c>
      <c r="D520" s="16" t="s">
        <v>38</v>
      </c>
      <c r="E520" s="16" t="str">
        <f aca="false">INDEX(Products!$B$2:$B$9,MATCH(D520,Products!$A$2:$A$9,0))</f>
        <v>Cold Drinks</v>
      </c>
      <c r="F520" s="17" t="n">
        <f aca="false">INDEX(Products!$C$2:$C$9,MATCH(D520,Products!$A$2:$A$9,0))</f>
        <v>4.45</v>
      </c>
      <c r="G520" s="18" t="n">
        <v>41</v>
      </c>
      <c r="H520" s="17" t="n">
        <f aca="false">F520*G520</f>
        <v>182.45</v>
      </c>
    </row>
    <row r="521" customFormat="false" ht="15" hidden="false" customHeight="false" outlineLevel="0" collapsed="false">
      <c r="A521" s="15" t="n">
        <v>45938</v>
      </c>
      <c r="B521" s="16" t="str">
        <f aca="false">TEXT(A521,"ddd")</f>
        <v>Wed</v>
      </c>
      <c r="C521" s="16" t="str">
        <f aca="false">TEXT(A521,"mmm")</f>
        <v>Oct</v>
      </c>
      <c r="D521" s="16" t="s">
        <v>28</v>
      </c>
      <c r="E521" s="16" t="str">
        <f aca="false">INDEX(Products!$B$2:$B$9,MATCH(D521,Products!$A$2:$A$9,0))</f>
        <v>Hot Espresso</v>
      </c>
      <c r="F521" s="17" t="n">
        <f aca="false">INDEX(Products!$C$2:$C$9,MATCH(D521,Products!$A$2:$A$9,0))</f>
        <v>4.95</v>
      </c>
      <c r="G521" s="18" t="n">
        <v>71</v>
      </c>
      <c r="H521" s="17" t="n">
        <f aca="false">F521*G521</f>
        <v>351.45</v>
      </c>
    </row>
    <row r="522" customFormat="false" ht="15" hidden="false" customHeight="false" outlineLevel="0" collapsed="false">
      <c r="A522" s="15" t="n">
        <v>45938</v>
      </c>
      <c r="B522" s="16" t="str">
        <f aca="false">TEXT(A522,"ddd")</f>
        <v>Wed</v>
      </c>
      <c r="C522" s="16" t="str">
        <f aca="false">TEXT(A522,"mmm")</f>
        <v>Oct</v>
      </c>
      <c r="D522" s="16" t="s">
        <v>30</v>
      </c>
      <c r="E522" s="16" t="str">
        <f aca="false">INDEX(Products!$B$2:$B$9,MATCH(D522,Products!$A$2:$A$9,0))</f>
        <v>Hot Espresso</v>
      </c>
      <c r="F522" s="17" t="n">
        <f aca="false">INDEX(Products!$C$2:$C$9,MATCH(D522,Products!$A$2:$A$9,0))</f>
        <v>4.75</v>
      </c>
      <c r="G522" s="18" t="n">
        <v>52</v>
      </c>
      <c r="H522" s="17" t="n">
        <f aca="false">F522*G522</f>
        <v>247</v>
      </c>
    </row>
    <row r="523" customFormat="false" ht="15" hidden="false" customHeight="false" outlineLevel="0" collapsed="false">
      <c r="A523" s="15" t="n">
        <v>45938</v>
      </c>
      <c r="B523" s="16" t="str">
        <f aca="false">TEXT(A523,"ddd")</f>
        <v>Wed</v>
      </c>
      <c r="C523" s="16" t="str">
        <f aca="false">TEXT(A523,"mmm")</f>
        <v>Oct</v>
      </c>
      <c r="D523" s="16" t="s">
        <v>31</v>
      </c>
      <c r="E523" s="16" t="str">
        <f aca="false">INDEX(Products!$B$2:$B$9,MATCH(D523,Products!$A$2:$A$9,0))</f>
        <v>Hot Espresso</v>
      </c>
      <c r="F523" s="17" t="n">
        <f aca="false">INDEX(Products!$C$2:$C$9,MATCH(D523,Products!$A$2:$A$9,0))</f>
        <v>5.45</v>
      </c>
      <c r="G523" s="18" t="n">
        <v>46</v>
      </c>
      <c r="H523" s="17" t="n">
        <f aca="false">F523*G523</f>
        <v>250.7</v>
      </c>
    </row>
    <row r="524" customFormat="false" ht="15" hidden="false" customHeight="false" outlineLevel="0" collapsed="false">
      <c r="A524" s="15" t="n">
        <v>45938</v>
      </c>
      <c r="B524" s="16" t="str">
        <f aca="false">TEXT(A524,"ddd")</f>
        <v>Wed</v>
      </c>
      <c r="C524" s="16" t="str">
        <f aca="false">TEXT(A524,"mmm")</f>
        <v>Oct</v>
      </c>
      <c r="D524" s="16" t="s">
        <v>32</v>
      </c>
      <c r="E524" s="16" t="str">
        <f aca="false">INDEX(Products!$B$2:$B$9,MATCH(D524,Products!$A$2:$A$9,0))</f>
        <v>Hot Espresso</v>
      </c>
      <c r="F524" s="17" t="n">
        <f aca="false">INDEX(Products!$C$2:$C$9,MATCH(D524,Products!$A$2:$A$9,0))</f>
        <v>3.75</v>
      </c>
      <c r="G524" s="18" t="n">
        <v>28</v>
      </c>
      <c r="H524" s="17" t="n">
        <f aca="false">F524*G524</f>
        <v>105</v>
      </c>
    </row>
    <row r="525" customFormat="false" ht="15" hidden="false" customHeight="false" outlineLevel="0" collapsed="false">
      <c r="A525" s="15" t="n">
        <v>45938</v>
      </c>
      <c r="B525" s="16" t="str">
        <f aca="false">TEXT(A525,"ddd")</f>
        <v>Wed</v>
      </c>
      <c r="C525" s="16" t="str">
        <f aca="false">TEXT(A525,"mmm")</f>
        <v>Oct</v>
      </c>
      <c r="D525" s="16" t="s">
        <v>33</v>
      </c>
      <c r="E525" s="16" t="str">
        <f aca="false">INDEX(Products!$B$2:$B$9,MATCH(D525,Products!$A$2:$A$9,0))</f>
        <v>Hot Espresso</v>
      </c>
      <c r="F525" s="17" t="n">
        <f aca="false">INDEX(Products!$C$2:$C$9,MATCH(D525,Products!$A$2:$A$9,0))</f>
        <v>5.25</v>
      </c>
      <c r="G525" s="18" t="n">
        <v>33</v>
      </c>
      <c r="H525" s="17" t="n">
        <f aca="false">F525*G525</f>
        <v>173.25</v>
      </c>
    </row>
    <row r="526" customFormat="false" ht="15" hidden="false" customHeight="false" outlineLevel="0" collapsed="false">
      <c r="A526" s="15" t="n">
        <v>45938</v>
      </c>
      <c r="B526" s="16" t="str">
        <f aca="false">TEXT(A526,"ddd")</f>
        <v>Wed</v>
      </c>
      <c r="C526" s="16" t="str">
        <f aca="false">TEXT(A526,"mmm")</f>
        <v>Oct</v>
      </c>
      <c r="D526" s="16" t="s">
        <v>34</v>
      </c>
      <c r="E526" s="16" t="str">
        <f aca="false">INDEX(Products!$B$2:$B$9,MATCH(D526,Products!$A$2:$A$9,0))</f>
        <v>Seasonal</v>
      </c>
      <c r="F526" s="17" t="n">
        <f aca="false">INDEX(Products!$C$2:$C$9,MATCH(D526,Products!$A$2:$A$9,0))</f>
        <v>5.75</v>
      </c>
      <c r="G526" s="18" t="n">
        <v>74</v>
      </c>
      <c r="H526" s="17" t="n">
        <f aca="false">F526*G526</f>
        <v>425.5</v>
      </c>
    </row>
    <row r="527" customFormat="false" ht="15" hidden="false" customHeight="false" outlineLevel="0" collapsed="false">
      <c r="A527" s="15" t="n">
        <v>45938</v>
      </c>
      <c r="B527" s="16" t="str">
        <f aca="false">TEXT(A527,"ddd")</f>
        <v>Wed</v>
      </c>
      <c r="C527" s="16" t="str">
        <f aca="false">TEXT(A527,"mmm")</f>
        <v>Oct</v>
      </c>
      <c r="D527" s="16" t="s">
        <v>36</v>
      </c>
      <c r="E527" s="16" t="str">
        <f aca="false">INDEX(Products!$B$2:$B$9,MATCH(D527,Products!$A$2:$A$9,0))</f>
        <v>Cold Drinks</v>
      </c>
      <c r="F527" s="17" t="n">
        <f aca="false">INDEX(Products!$C$2:$C$9,MATCH(D527,Products!$A$2:$A$9,0))</f>
        <v>3.95</v>
      </c>
      <c r="G527" s="18" t="n">
        <v>43</v>
      </c>
      <c r="H527" s="17" t="n">
        <f aca="false">F527*G527</f>
        <v>169.85</v>
      </c>
    </row>
    <row r="528" customFormat="false" ht="15" hidden="false" customHeight="false" outlineLevel="0" collapsed="false">
      <c r="A528" s="15" t="n">
        <v>45938</v>
      </c>
      <c r="B528" s="16" t="str">
        <f aca="false">TEXT(A528,"ddd")</f>
        <v>Wed</v>
      </c>
      <c r="C528" s="16" t="str">
        <f aca="false">TEXT(A528,"mmm")</f>
        <v>Oct</v>
      </c>
      <c r="D528" s="16" t="s">
        <v>38</v>
      </c>
      <c r="E528" s="16" t="str">
        <f aca="false">INDEX(Products!$B$2:$B$9,MATCH(D528,Products!$A$2:$A$9,0))</f>
        <v>Cold Drinks</v>
      </c>
      <c r="F528" s="17" t="n">
        <f aca="false">INDEX(Products!$C$2:$C$9,MATCH(D528,Products!$A$2:$A$9,0))</f>
        <v>4.45</v>
      </c>
      <c r="G528" s="18" t="n">
        <v>39</v>
      </c>
      <c r="H528" s="17" t="n">
        <f aca="false">F528*G528</f>
        <v>173.55</v>
      </c>
    </row>
    <row r="529" customFormat="false" ht="15" hidden="false" customHeight="false" outlineLevel="0" collapsed="false">
      <c r="A529" s="15" t="n">
        <v>45939</v>
      </c>
      <c r="B529" s="16" t="str">
        <f aca="false">TEXT(A529,"ddd")</f>
        <v>Thu</v>
      </c>
      <c r="C529" s="16" t="str">
        <f aca="false">TEXT(A529,"mmm")</f>
        <v>Oct</v>
      </c>
      <c r="D529" s="16" t="s">
        <v>28</v>
      </c>
      <c r="E529" s="16" t="str">
        <f aca="false">INDEX(Products!$B$2:$B$9,MATCH(D529,Products!$A$2:$A$9,0))</f>
        <v>Hot Espresso</v>
      </c>
      <c r="F529" s="17" t="n">
        <f aca="false">INDEX(Products!$C$2:$C$9,MATCH(D529,Products!$A$2:$A$9,0))</f>
        <v>4.95</v>
      </c>
      <c r="G529" s="18" t="n">
        <v>69</v>
      </c>
      <c r="H529" s="17" t="n">
        <f aca="false">F529*G529</f>
        <v>341.55</v>
      </c>
    </row>
    <row r="530" customFormat="false" ht="15" hidden="false" customHeight="false" outlineLevel="0" collapsed="false">
      <c r="A530" s="15" t="n">
        <v>45939</v>
      </c>
      <c r="B530" s="16" t="str">
        <f aca="false">TEXT(A530,"ddd")</f>
        <v>Thu</v>
      </c>
      <c r="C530" s="16" t="str">
        <f aca="false">TEXT(A530,"mmm")</f>
        <v>Oct</v>
      </c>
      <c r="D530" s="16" t="s">
        <v>30</v>
      </c>
      <c r="E530" s="16" t="str">
        <f aca="false">INDEX(Products!$B$2:$B$9,MATCH(D530,Products!$A$2:$A$9,0))</f>
        <v>Hot Espresso</v>
      </c>
      <c r="F530" s="17" t="n">
        <f aca="false">INDEX(Products!$C$2:$C$9,MATCH(D530,Products!$A$2:$A$9,0))</f>
        <v>4.75</v>
      </c>
      <c r="G530" s="18" t="n">
        <v>50</v>
      </c>
      <c r="H530" s="17" t="n">
        <f aca="false">F530*G530</f>
        <v>237.5</v>
      </c>
    </row>
    <row r="531" customFormat="false" ht="15" hidden="false" customHeight="false" outlineLevel="0" collapsed="false">
      <c r="A531" s="15" t="n">
        <v>45939</v>
      </c>
      <c r="B531" s="16" t="str">
        <f aca="false">TEXT(A531,"ddd")</f>
        <v>Thu</v>
      </c>
      <c r="C531" s="16" t="str">
        <f aca="false">TEXT(A531,"mmm")</f>
        <v>Oct</v>
      </c>
      <c r="D531" s="16" t="s">
        <v>31</v>
      </c>
      <c r="E531" s="16" t="str">
        <f aca="false">INDEX(Products!$B$2:$B$9,MATCH(D531,Products!$A$2:$A$9,0))</f>
        <v>Hot Espresso</v>
      </c>
      <c r="F531" s="17" t="n">
        <f aca="false">INDEX(Products!$C$2:$C$9,MATCH(D531,Products!$A$2:$A$9,0))</f>
        <v>5.45</v>
      </c>
      <c r="G531" s="18" t="n">
        <v>46</v>
      </c>
      <c r="H531" s="17" t="n">
        <f aca="false">F531*G531</f>
        <v>250.7</v>
      </c>
    </row>
    <row r="532" customFormat="false" ht="15" hidden="false" customHeight="false" outlineLevel="0" collapsed="false">
      <c r="A532" s="15" t="n">
        <v>45939</v>
      </c>
      <c r="B532" s="16" t="str">
        <f aca="false">TEXT(A532,"ddd")</f>
        <v>Thu</v>
      </c>
      <c r="C532" s="16" t="str">
        <f aca="false">TEXT(A532,"mmm")</f>
        <v>Oct</v>
      </c>
      <c r="D532" s="16" t="s">
        <v>32</v>
      </c>
      <c r="E532" s="16" t="str">
        <f aca="false">INDEX(Products!$B$2:$B$9,MATCH(D532,Products!$A$2:$A$9,0))</f>
        <v>Hot Espresso</v>
      </c>
      <c r="F532" s="17" t="n">
        <f aca="false">INDEX(Products!$C$2:$C$9,MATCH(D532,Products!$A$2:$A$9,0))</f>
        <v>3.75</v>
      </c>
      <c r="G532" s="18" t="n">
        <v>33</v>
      </c>
      <c r="H532" s="17" t="n">
        <f aca="false">F532*G532</f>
        <v>123.75</v>
      </c>
    </row>
    <row r="533" customFormat="false" ht="15" hidden="false" customHeight="false" outlineLevel="0" collapsed="false">
      <c r="A533" s="15" t="n">
        <v>45939</v>
      </c>
      <c r="B533" s="16" t="str">
        <f aca="false">TEXT(A533,"ddd")</f>
        <v>Thu</v>
      </c>
      <c r="C533" s="16" t="str">
        <f aca="false">TEXT(A533,"mmm")</f>
        <v>Oct</v>
      </c>
      <c r="D533" s="16" t="s">
        <v>33</v>
      </c>
      <c r="E533" s="16" t="str">
        <f aca="false">INDEX(Products!$B$2:$B$9,MATCH(D533,Products!$A$2:$A$9,0))</f>
        <v>Hot Espresso</v>
      </c>
      <c r="F533" s="17" t="n">
        <f aca="false">INDEX(Products!$C$2:$C$9,MATCH(D533,Products!$A$2:$A$9,0))</f>
        <v>5.25</v>
      </c>
      <c r="G533" s="18" t="n">
        <v>40</v>
      </c>
      <c r="H533" s="17" t="n">
        <f aca="false">F533*G533</f>
        <v>210</v>
      </c>
    </row>
    <row r="534" customFormat="false" ht="15" hidden="false" customHeight="false" outlineLevel="0" collapsed="false">
      <c r="A534" s="15" t="n">
        <v>45939</v>
      </c>
      <c r="B534" s="16" t="str">
        <f aca="false">TEXT(A534,"ddd")</f>
        <v>Thu</v>
      </c>
      <c r="C534" s="16" t="str">
        <f aca="false">TEXT(A534,"mmm")</f>
        <v>Oct</v>
      </c>
      <c r="D534" s="16" t="s">
        <v>34</v>
      </c>
      <c r="E534" s="16" t="str">
        <f aca="false">INDEX(Products!$B$2:$B$9,MATCH(D534,Products!$A$2:$A$9,0))</f>
        <v>Seasonal</v>
      </c>
      <c r="F534" s="17" t="n">
        <f aca="false">INDEX(Products!$C$2:$C$9,MATCH(D534,Products!$A$2:$A$9,0))</f>
        <v>5.75</v>
      </c>
      <c r="G534" s="18" t="n">
        <v>76</v>
      </c>
      <c r="H534" s="17" t="n">
        <f aca="false">F534*G534</f>
        <v>437</v>
      </c>
    </row>
    <row r="535" customFormat="false" ht="15" hidden="false" customHeight="false" outlineLevel="0" collapsed="false">
      <c r="A535" s="15" t="n">
        <v>45939</v>
      </c>
      <c r="B535" s="16" t="str">
        <f aca="false">TEXT(A535,"ddd")</f>
        <v>Thu</v>
      </c>
      <c r="C535" s="16" t="str">
        <f aca="false">TEXT(A535,"mmm")</f>
        <v>Oct</v>
      </c>
      <c r="D535" s="16" t="s">
        <v>36</v>
      </c>
      <c r="E535" s="16" t="str">
        <f aca="false">INDEX(Products!$B$2:$B$9,MATCH(D535,Products!$A$2:$A$9,0))</f>
        <v>Cold Drinks</v>
      </c>
      <c r="F535" s="17" t="n">
        <f aca="false">INDEX(Products!$C$2:$C$9,MATCH(D535,Products!$A$2:$A$9,0))</f>
        <v>3.95</v>
      </c>
      <c r="G535" s="18" t="n">
        <v>47</v>
      </c>
      <c r="H535" s="17" t="n">
        <f aca="false">F535*G535</f>
        <v>185.65</v>
      </c>
    </row>
    <row r="536" customFormat="false" ht="15" hidden="false" customHeight="false" outlineLevel="0" collapsed="false">
      <c r="A536" s="15" t="n">
        <v>45939</v>
      </c>
      <c r="B536" s="16" t="str">
        <f aca="false">TEXT(A536,"ddd")</f>
        <v>Thu</v>
      </c>
      <c r="C536" s="16" t="str">
        <f aca="false">TEXT(A536,"mmm")</f>
        <v>Oct</v>
      </c>
      <c r="D536" s="16" t="s">
        <v>38</v>
      </c>
      <c r="E536" s="16" t="str">
        <f aca="false">INDEX(Products!$B$2:$B$9,MATCH(D536,Products!$A$2:$A$9,0))</f>
        <v>Cold Drinks</v>
      </c>
      <c r="F536" s="17" t="n">
        <f aca="false">INDEX(Products!$C$2:$C$9,MATCH(D536,Products!$A$2:$A$9,0))</f>
        <v>4.45</v>
      </c>
      <c r="G536" s="18" t="n">
        <v>35</v>
      </c>
      <c r="H536" s="17" t="n">
        <f aca="false">F536*G536</f>
        <v>155.75</v>
      </c>
    </row>
    <row r="537" customFormat="false" ht="15" hidden="false" customHeight="false" outlineLevel="0" collapsed="false">
      <c r="A537" s="15" t="n">
        <v>45940</v>
      </c>
      <c r="B537" s="16" t="str">
        <f aca="false">TEXT(A537,"ddd")</f>
        <v>Fri</v>
      </c>
      <c r="C537" s="16" t="str">
        <f aca="false">TEXT(A537,"mmm")</f>
        <v>Oct</v>
      </c>
      <c r="D537" s="16" t="s">
        <v>28</v>
      </c>
      <c r="E537" s="16" t="str">
        <f aca="false">INDEX(Products!$B$2:$B$9,MATCH(D537,Products!$A$2:$A$9,0))</f>
        <v>Hot Espresso</v>
      </c>
      <c r="F537" s="17" t="n">
        <f aca="false">INDEX(Products!$C$2:$C$9,MATCH(D537,Products!$A$2:$A$9,0))</f>
        <v>4.95</v>
      </c>
      <c r="G537" s="18" t="n">
        <v>61</v>
      </c>
      <c r="H537" s="17" t="n">
        <f aca="false">F537*G537</f>
        <v>301.95</v>
      </c>
    </row>
    <row r="538" customFormat="false" ht="15" hidden="false" customHeight="false" outlineLevel="0" collapsed="false">
      <c r="A538" s="15" t="n">
        <v>45940</v>
      </c>
      <c r="B538" s="16" t="str">
        <f aca="false">TEXT(A538,"ddd")</f>
        <v>Fri</v>
      </c>
      <c r="C538" s="16" t="str">
        <f aca="false">TEXT(A538,"mmm")</f>
        <v>Oct</v>
      </c>
      <c r="D538" s="16" t="s">
        <v>30</v>
      </c>
      <c r="E538" s="16" t="str">
        <f aca="false">INDEX(Products!$B$2:$B$9,MATCH(D538,Products!$A$2:$A$9,0))</f>
        <v>Hot Espresso</v>
      </c>
      <c r="F538" s="17" t="n">
        <f aca="false">INDEX(Products!$C$2:$C$9,MATCH(D538,Products!$A$2:$A$9,0))</f>
        <v>4.75</v>
      </c>
      <c r="G538" s="18" t="n">
        <v>51</v>
      </c>
      <c r="H538" s="17" t="n">
        <f aca="false">F538*G538</f>
        <v>242.25</v>
      </c>
    </row>
    <row r="539" customFormat="false" ht="15" hidden="false" customHeight="false" outlineLevel="0" collapsed="false">
      <c r="A539" s="15" t="n">
        <v>45940</v>
      </c>
      <c r="B539" s="16" t="str">
        <f aca="false">TEXT(A539,"ddd")</f>
        <v>Fri</v>
      </c>
      <c r="C539" s="16" t="str">
        <f aca="false">TEXT(A539,"mmm")</f>
        <v>Oct</v>
      </c>
      <c r="D539" s="16" t="s">
        <v>31</v>
      </c>
      <c r="E539" s="16" t="str">
        <f aca="false">INDEX(Products!$B$2:$B$9,MATCH(D539,Products!$A$2:$A$9,0))</f>
        <v>Hot Espresso</v>
      </c>
      <c r="F539" s="17" t="n">
        <f aca="false">INDEX(Products!$C$2:$C$9,MATCH(D539,Products!$A$2:$A$9,0))</f>
        <v>5.45</v>
      </c>
      <c r="G539" s="18" t="n">
        <v>51</v>
      </c>
      <c r="H539" s="17" t="n">
        <f aca="false">F539*G539</f>
        <v>277.95</v>
      </c>
    </row>
    <row r="540" customFormat="false" ht="15" hidden="false" customHeight="false" outlineLevel="0" collapsed="false">
      <c r="A540" s="15" t="n">
        <v>45940</v>
      </c>
      <c r="B540" s="16" t="str">
        <f aca="false">TEXT(A540,"ddd")</f>
        <v>Fri</v>
      </c>
      <c r="C540" s="16" t="str">
        <f aca="false">TEXT(A540,"mmm")</f>
        <v>Oct</v>
      </c>
      <c r="D540" s="16" t="s">
        <v>32</v>
      </c>
      <c r="E540" s="16" t="str">
        <f aca="false">INDEX(Products!$B$2:$B$9,MATCH(D540,Products!$A$2:$A$9,0))</f>
        <v>Hot Espresso</v>
      </c>
      <c r="F540" s="17" t="n">
        <f aca="false">INDEX(Products!$C$2:$C$9,MATCH(D540,Products!$A$2:$A$9,0))</f>
        <v>3.75</v>
      </c>
      <c r="G540" s="18" t="n">
        <v>30</v>
      </c>
      <c r="H540" s="17" t="n">
        <f aca="false">F540*G540</f>
        <v>112.5</v>
      </c>
    </row>
    <row r="541" customFormat="false" ht="15" hidden="false" customHeight="false" outlineLevel="0" collapsed="false">
      <c r="A541" s="15" t="n">
        <v>45940</v>
      </c>
      <c r="B541" s="16" t="str">
        <f aca="false">TEXT(A541,"ddd")</f>
        <v>Fri</v>
      </c>
      <c r="C541" s="16" t="str">
        <f aca="false">TEXT(A541,"mmm")</f>
        <v>Oct</v>
      </c>
      <c r="D541" s="16" t="s">
        <v>33</v>
      </c>
      <c r="E541" s="16" t="str">
        <f aca="false">INDEX(Products!$B$2:$B$9,MATCH(D541,Products!$A$2:$A$9,0))</f>
        <v>Hot Espresso</v>
      </c>
      <c r="F541" s="17" t="n">
        <f aca="false">INDEX(Products!$C$2:$C$9,MATCH(D541,Products!$A$2:$A$9,0))</f>
        <v>5.25</v>
      </c>
      <c r="G541" s="18" t="n">
        <v>36</v>
      </c>
      <c r="H541" s="17" t="n">
        <f aca="false">F541*G541</f>
        <v>189</v>
      </c>
    </row>
    <row r="542" customFormat="false" ht="15" hidden="false" customHeight="false" outlineLevel="0" collapsed="false">
      <c r="A542" s="15" t="n">
        <v>45940</v>
      </c>
      <c r="B542" s="16" t="str">
        <f aca="false">TEXT(A542,"ddd")</f>
        <v>Fri</v>
      </c>
      <c r="C542" s="16" t="str">
        <f aca="false">TEXT(A542,"mmm")</f>
        <v>Oct</v>
      </c>
      <c r="D542" s="16" t="s">
        <v>34</v>
      </c>
      <c r="E542" s="16" t="str">
        <f aca="false">INDEX(Products!$B$2:$B$9,MATCH(D542,Products!$A$2:$A$9,0))</f>
        <v>Seasonal</v>
      </c>
      <c r="F542" s="17" t="n">
        <f aca="false">INDEX(Products!$C$2:$C$9,MATCH(D542,Products!$A$2:$A$9,0))</f>
        <v>5.75</v>
      </c>
      <c r="G542" s="18" t="n">
        <v>87</v>
      </c>
      <c r="H542" s="17" t="n">
        <f aca="false">F542*G542</f>
        <v>500.25</v>
      </c>
    </row>
    <row r="543" customFormat="false" ht="15" hidden="false" customHeight="false" outlineLevel="0" collapsed="false">
      <c r="A543" s="15" t="n">
        <v>45940</v>
      </c>
      <c r="B543" s="16" t="str">
        <f aca="false">TEXT(A543,"ddd")</f>
        <v>Fri</v>
      </c>
      <c r="C543" s="16" t="str">
        <f aca="false">TEXT(A543,"mmm")</f>
        <v>Oct</v>
      </c>
      <c r="D543" s="16" t="s">
        <v>36</v>
      </c>
      <c r="E543" s="16" t="str">
        <f aca="false">INDEX(Products!$B$2:$B$9,MATCH(D543,Products!$A$2:$A$9,0))</f>
        <v>Cold Drinks</v>
      </c>
      <c r="F543" s="17" t="n">
        <f aca="false">INDEX(Products!$C$2:$C$9,MATCH(D543,Products!$A$2:$A$9,0))</f>
        <v>3.95</v>
      </c>
      <c r="G543" s="18" t="n">
        <v>39</v>
      </c>
      <c r="H543" s="17" t="n">
        <f aca="false">F543*G543</f>
        <v>154.05</v>
      </c>
    </row>
    <row r="544" customFormat="false" ht="15" hidden="false" customHeight="false" outlineLevel="0" collapsed="false">
      <c r="A544" s="15" t="n">
        <v>45940</v>
      </c>
      <c r="B544" s="16" t="str">
        <f aca="false">TEXT(A544,"ddd")</f>
        <v>Fri</v>
      </c>
      <c r="C544" s="16" t="str">
        <f aca="false">TEXT(A544,"mmm")</f>
        <v>Oct</v>
      </c>
      <c r="D544" s="16" t="s">
        <v>38</v>
      </c>
      <c r="E544" s="16" t="str">
        <f aca="false">INDEX(Products!$B$2:$B$9,MATCH(D544,Products!$A$2:$A$9,0))</f>
        <v>Cold Drinks</v>
      </c>
      <c r="F544" s="17" t="n">
        <f aca="false">INDEX(Products!$C$2:$C$9,MATCH(D544,Products!$A$2:$A$9,0))</f>
        <v>4.45</v>
      </c>
      <c r="G544" s="18" t="n">
        <v>37</v>
      </c>
      <c r="H544" s="17" t="n">
        <f aca="false">F544*G544</f>
        <v>164.65</v>
      </c>
    </row>
    <row r="545" customFormat="false" ht="15" hidden="false" customHeight="false" outlineLevel="0" collapsed="false">
      <c r="A545" s="15" t="n">
        <v>45941</v>
      </c>
      <c r="B545" s="16" t="str">
        <f aca="false">TEXT(A545,"ddd")</f>
        <v>Sat</v>
      </c>
      <c r="C545" s="16" t="str">
        <f aca="false">TEXT(A545,"mmm")</f>
        <v>Oct</v>
      </c>
      <c r="D545" s="16" t="s">
        <v>28</v>
      </c>
      <c r="E545" s="16" t="str">
        <f aca="false">INDEX(Products!$B$2:$B$9,MATCH(D545,Products!$A$2:$A$9,0))</f>
        <v>Hot Espresso</v>
      </c>
      <c r="F545" s="17" t="n">
        <f aca="false">INDEX(Products!$C$2:$C$9,MATCH(D545,Products!$A$2:$A$9,0))</f>
        <v>4.95</v>
      </c>
      <c r="G545" s="18" t="n">
        <v>84</v>
      </c>
      <c r="H545" s="17" t="n">
        <f aca="false">F545*G545</f>
        <v>415.8</v>
      </c>
    </row>
    <row r="546" customFormat="false" ht="15" hidden="false" customHeight="false" outlineLevel="0" collapsed="false">
      <c r="A546" s="15" t="n">
        <v>45941</v>
      </c>
      <c r="B546" s="16" t="str">
        <f aca="false">TEXT(A546,"ddd")</f>
        <v>Sat</v>
      </c>
      <c r="C546" s="16" t="str">
        <f aca="false">TEXT(A546,"mmm")</f>
        <v>Oct</v>
      </c>
      <c r="D546" s="16" t="s">
        <v>30</v>
      </c>
      <c r="E546" s="16" t="str">
        <f aca="false">INDEX(Products!$B$2:$B$9,MATCH(D546,Products!$A$2:$A$9,0))</f>
        <v>Hot Espresso</v>
      </c>
      <c r="F546" s="17" t="n">
        <f aca="false">INDEX(Products!$C$2:$C$9,MATCH(D546,Products!$A$2:$A$9,0))</f>
        <v>4.75</v>
      </c>
      <c r="G546" s="18" t="n">
        <v>54</v>
      </c>
      <c r="H546" s="17" t="n">
        <f aca="false">F546*G546</f>
        <v>256.5</v>
      </c>
    </row>
    <row r="547" customFormat="false" ht="15" hidden="false" customHeight="false" outlineLevel="0" collapsed="false">
      <c r="A547" s="15" t="n">
        <v>45941</v>
      </c>
      <c r="B547" s="16" t="str">
        <f aca="false">TEXT(A547,"ddd")</f>
        <v>Sat</v>
      </c>
      <c r="C547" s="16" t="str">
        <f aca="false">TEXT(A547,"mmm")</f>
        <v>Oct</v>
      </c>
      <c r="D547" s="16" t="s">
        <v>31</v>
      </c>
      <c r="E547" s="16" t="str">
        <f aca="false">INDEX(Products!$B$2:$B$9,MATCH(D547,Products!$A$2:$A$9,0))</f>
        <v>Hot Espresso</v>
      </c>
      <c r="F547" s="17" t="n">
        <f aca="false">INDEX(Products!$C$2:$C$9,MATCH(D547,Products!$A$2:$A$9,0))</f>
        <v>5.45</v>
      </c>
      <c r="G547" s="18" t="n">
        <v>61</v>
      </c>
      <c r="H547" s="17" t="n">
        <f aca="false">F547*G547</f>
        <v>332.45</v>
      </c>
    </row>
    <row r="548" customFormat="false" ht="15" hidden="false" customHeight="false" outlineLevel="0" collapsed="false">
      <c r="A548" s="15" t="n">
        <v>45941</v>
      </c>
      <c r="B548" s="16" t="str">
        <f aca="false">TEXT(A548,"ddd")</f>
        <v>Sat</v>
      </c>
      <c r="C548" s="16" t="str">
        <f aca="false">TEXT(A548,"mmm")</f>
        <v>Oct</v>
      </c>
      <c r="D548" s="16" t="s">
        <v>32</v>
      </c>
      <c r="E548" s="16" t="str">
        <f aca="false">INDEX(Products!$B$2:$B$9,MATCH(D548,Products!$A$2:$A$9,0))</f>
        <v>Hot Espresso</v>
      </c>
      <c r="F548" s="17" t="n">
        <f aca="false">INDEX(Products!$C$2:$C$9,MATCH(D548,Products!$A$2:$A$9,0))</f>
        <v>3.75</v>
      </c>
      <c r="G548" s="18" t="n">
        <v>38</v>
      </c>
      <c r="H548" s="17" t="n">
        <f aca="false">F548*G548</f>
        <v>142.5</v>
      </c>
    </row>
    <row r="549" customFormat="false" ht="15" hidden="false" customHeight="false" outlineLevel="0" collapsed="false">
      <c r="A549" s="15" t="n">
        <v>45941</v>
      </c>
      <c r="B549" s="16" t="str">
        <f aca="false">TEXT(A549,"ddd")</f>
        <v>Sat</v>
      </c>
      <c r="C549" s="16" t="str">
        <f aca="false">TEXT(A549,"mmm")</f>
        <v>Oct</v>
      </c>
      <c r="D549" s="16" t="s">
        <v>33</v>
      </c>
      <c r="E549" s="16" t="str">
        <f aca="false">INDEX(Products!$B$2:$B$9,MATCH(D549,Products!$A$2:$A$9,0))</f>
        <v>Hot Espresso</v>
      </c>
      <c r="F549" s="17" t="n">
        <f aca="false">INDEX(Products!$C$2:$C$9,MATCH(D549,Products!$A$2:$A$9,0))</f>
        <v>5.25</v>
      </c>
      <c r="G549" s="18" t="n">
        <v>43</v>
      </c>
      <c r="H549" s="17" t="n">
        <f aca="false">F549*G549</f>
        <v>225.75</v>
      </c>
    </row>
    <row r="550" customFormat="false" ht="15" hidden="false" customHeight="false" outlineLevel="0" collapsed="false">
      <c r="A550" s="15" t="n">
        <v>45941</v>
      </c>
      <c r="B550" s="16" t="str">
        <f aca="false">TEXT(A550,"ddd")</f>
        <v>Sat</v>
      </c>
      <c r="C550" s="16" t="str">
        <f aca="false">TEXT(A550,"mmm")</f>
        <v>Oct</v>
      </c>
      <c r="D550" s="16" t="s">
        <v>34</v>
      </c>
      <c r="E550" s="16" t="str">
        <f aca="false">INDEX(Products!$B$2:$B$9,MATCH(D550,Products!$A$2:$A$9,0))</f>
        <v>Seasonal</v>
      </c>
      <c r="F550" s="17" t="n">
        <f aca="false">INDEX(Products!$C$2:$C$9,MATCH(D550,Products!$A$2:$A$9,0))</f>
        <v>5.75</v>
      </c>
      <c r="G550" s="18" t="n">
        <v>95</v>
      </c>
      <c r="H550" s="17" t="n">
        <f aca="false">F550*G550</f>
        <v>546.25</v>
      </c>
    </row>
    <row r="551" customFormat="false" ht="15" hidden="false" customHeight="false" outlineLevel="0" collapsed="false">
      <c r="A551" s="15" t="n">
        <v>45941</v>
      </c>
      <c r="B551" s="16" t="str">
        <f aca="false">TEXT(A551,"ddd")</f>
        <v>Sat</v>
      </c>
      <c r="C551" s="16" t="str">
        <f aca="false">TEXT(A551,"mmm")</f>
        <v>Oct</v>
      </c>
      <c r="D551" s="16" t="s">
        <v>36</v>
      </c>
      <c r="E551" s="16" t="str">
        <f aca="false">INDEX(Products!$B$2:$B$9,MATCH(D551,Products!$A$2:$A$9,0))</f>
        <v>Cold Drinks</v>
      </c>
      <c r="F551" s="17" t="n">
        <f aca="false">INDEX(Products!$C$2:$C$9,MATCH(D551,Products!$A$2:$A$9,0))</f>
        <v>3.95</v>
      </c>
      <c r="G551" s="18" t="n">
        <v>54</v>
      </c>
      <c r="H551" s="17" t="n">
        <f aca="false">F551*G551</f>
        <v>213.3</v>
      </c>
    </row>
    <row r="552" customFormat="false" ht="15" hidden="false" customHeight="false" outlineLevel="0" collapsed="false">
      <c r="A552" s="15" t="n">
        <v>45941</v>
      </c>
      <c r="B552" s="16" t="str">
        <f aca="false">TEXT(A552,"ddd")</f>
        <v>Sat</v>
      </c>
      <c r="C552" s="16" t="str">
        <f aca="false">TEXT(A552,"mmm")</f>
        <v>Oct</v>
      </c>
      <c r="D552" s="16" t="s">
        <v>38</v>
      </c>
      <c r="E552" s="16" t="str">
        <f aca="false">INDEX(Products!$B$2:$B$9,MATCH(D552,Products!$A$2:$A$9,0))</f>
        <v>Cold Drinks</v>
      </c>
      <c r="F552" s="17" t="n">
        <f aca="false">INDEX(Products!$C$2:$C$9,MATCH(D552,Products!$A$2:$A$9,0))</f>
        <v>4.45</v>
      </c>
      <c r="G552" s="18" t="n">
        <v>41</v>
      </c>
      <c r="H552" s="17" t="n">
        <f aca="false">F552*G552</f>
        <v>182.45</v>
      </c>
    </row>
    <row r="553" customFormat="false" ht="15" hidden="false" customHeight="false" outlineLevel="0" collapsed="false">
      <c r="A553" s="15" t="n">
        <v>45942</v>
      </c>
      <c r="B553" s="16" t="str">
        <f aca="false">TEXT(A553,"ddd")</f>
        <v>Sun</v>
      </c>
      <c r="C553" s="16" t="str">
        <f aca="false">TEXT(A553,"mmm")</f>
        <v>Oct</v>
      </c>
      <c r="D553" s="16" t="s">
        <v>28</v>
      </c>
      <c r="E553" s="16" t="str">
        <f aca="false">INDEX(Products!$B$2:$B$9,MATCH(D553,Products!$A$2:$A$9,0))</f>
        <v>Hot Espresso</v>
      </c>
      <c r="F553" s="17" t="n">
        <f aca="false">INDEX(Products!$C$2:$C$9,MATCH(D553,Products!$A$2:$A$9,0))</f>
        <v>4.95</v>
      </c>
      <c r="G553" s="18" t="n">
        <v>69</v>
      </c>
      <c r="H553" s="17" t="n">
        <f aca="false">F553*G553</f>
        <v>341.55</v>
      </c>
    </row>
    <row r="554" customFormat="false" ht="15" hidden="false" customHeight="false" outlineLevel="0" collapsed="false">
      <c r="A554" s="15" t="n">
        <v>45942</v>
      </c>
      <c r="B554" s="16" t="str">
        <f aca="false">TEXT(A554,"ddd")</f>
        <v>Sun</v>
      </c>
      <c r="C554" s="16" t="str">
        <f aca="false">TEXT(A554,"mmm")</f>
        <v>Oct</v>
      </c>
      <c r="D554" s="16" t="s">
        <v>30</v>
      </c>
      <c r="E554" s="16" t="str">
        <f aca="false">INDEX(Products!$B$2:$B$9,MATCH(D554,Products!$A$2:$A$9,0))</f>
        <v>Hot Espresso</v>
      </c>
      <c r="F554" s="17" t="n">
        <f aca="false">INDEX(Products!$C$2:$C$9,MATCH(D554,Products!$A$2:$A$9,0))</f>
        <v>4.75</v>
      </c>
      <c r="G554" s="18" t="n">
        <v>59</v>
      </c>
      <c r="H554" s="17" t="n">
        <f aca="false">F554*G554</f>
        <v>280.25</v>
      </c>
    </row>
    <row r="555" customFormat="false" ht="15" hidden="false" customHeight="false" outlineLevel="0" collapsed="false">
      <c r="A555" s="15" t="n">
        <v>45942</v>
      </c>
      <c r="B555" s="16" t="str">
        <f aca="false">TEXT(A555,"ddd")</f>
        <v>Sun</v>
      </c>
      <c r="C555" s="16" t="str">
        <f aca="false">TEXT(A555,"mmm")</f>
        <v>Oct</v>
      </c>
      <c r="D555" s="16" t="s">
        <v>31</v>
      </c>
      <c r="E555" s="16" t="str">
        <f aca="false">INDEX(Products!$B$2:$B$9,MATCH(D555,Products!$A$2:$A$9,0))</f>
        <v>Hot Espresso</v>
      </c>
      <c r="F555" s="17" t="n">
        <f aca="false">INDEX(Products!$C$2:$C$9,MATCH(D555,Products!$A$2:$A$9,0))</f>
        <v>5.45</v>
      </c>
      <c r="G555" s="18" t="n">
        <v>56</v>
      </c>
      <c r="H555" s="17" t="n">
        <f aca="false">F555*G555</f>
        <v>305.2</v>
      </c>
    </row>
    <row r="556" customFormat="false" ht="15" hidden="false" customHeight="false" outlineLevel="0" collapsed="false">
      <c r="A556" s="15" t="n">
        <v>45942</v>
      </c>
      <c r="B556" s="16" t="str">
        <f aca="false">TEXT(A556,"ddd")</f>
        <v>Sun</v>
      </c>
      <c r="C556" s="16" t="str">
        <f aca="false">TEXT(A556,"mmm")</f>
        <v>Oct</v>
      </c>
      <c r="D556" s="16" t="s">
        <v>32</v>
      </c>
      <c r="E556" s="16" t="str">
        <f aca="false">INDEX(Products!$B$2:$B$9,MATCH(D556,Products!$A$2:$A$9,0))</f>
        <v>Hot Espresso</v>
      </c>
      <c r="F556" s="17" t="n">
        <f aca="false">INDEX(Products!$C$2:$C$9,MATCH(D556,Products!$A$2:$A$9,0))</f>
        <v>3.75</v>
      </c>
      <c r="G556" s="18" t="n">
        <v>35</v>
      </c>
      <c r="H556" s="17" t="n">
        <f aca="false">F556*G556</f>
        <v>131.25</v>
      </c>
    </row>
    <row r="557" customFormat="false" ht="15" hidden="false" customHeight="false" outlineLevel="0" collapsed="false">
      <c r="A557" s="15" t="n">
        <v>45942</v>
      </c>
      <c r="B557" s="16" t="str">
        <f aca="false">TEXT(A557,"ddd")</f>
        <v>Sun</v>
      </c>
      <c r="C557" s="16" t="str">
        <f aca="false">TEXT(A557,"mmm")</f>
        <v>Oct</v>
      </c>
      <c r="D557" s="16" t="s">
        <v>33</v>
      </c>
      <c r="E557" s="16" t="str">
        <f aca="false">INDEX(Products!$B$2:$B$9,MATCH(D557,Products!$A$2:$A$9,0))</f>
        <v>Hot Espresso</v>
      </c>
      <c r="F557" s="17" t="n">
        <f aca="false">INDEX(Products!$C$2:$C$9,MATCH(D557,Products!$A$2:$A$9,0))</f>
        <v>5.25</v>
      </c>
      <c r="G557" s="18" t="n">
        <v>38</v>
      </c>
      <c r="H557" s="17" t="n">
        <f aca="false">F557*G557</f>
        <v>199.5</v>
      </c>
    </row>
    <row r="558" customFormat="false" ht="15" hidden="false" customHeight="false" outlineLevel="0" collapsed="false">
      <c r="A558" s="15" t="n">
        <v>45942</v>
      </c>
      <c r="B558" s="16" t="str">
        <f aca="false">TEXT(A558,"ddd")</f>
        <v>Sun</v>
      </c>
      <c r="C558" s="16" t="str">
        <f aca="false">TEXT(A558,"mmm")</f>
        <v>Oct</v>
      </c>
      <c r="D558" s="16" t="s">
        <v>34</v>
      </c>
      <c r="E558" s="16" t="str">
        <f aca="false">INDEX(Products!$B$2:$B$9,MATCH(D558,Products!$A$2:$A$9,0))</f>
        <v>Seasonal</v>
      </c>
      <c r="F558" s="17" t="n">
        <f aca="false">INDEX(Products!$C$2:$C$9,MATCH(D558,Products!$A$2:$A$9,0))</f>
        <v>5.75</v>
      </c>
      <c r="G558" s="18" t="n">
        <v>104</v>
      </c>
      <c r="H558" s="17" t="n">
        <f aca="false">F558*G558</f>
        <v>598</v>
      </c>
    </row>
    <row r="559" customFormat="false" ht="15" hidden="false" customHeight="false" outlineLevel="0" collapsed="false">
      <c r="A559" s="15" t="n">
        <v>45942</v>
      </c>
      <c r="B559" s="16" t="str">
        <f aca="false">TEXT(A559,"ddd")</f>
        <v>Sun</v>
      </c>
      <c r="C559" s="16" t="str">
        <f aca="false">TEXT(A559,"mmm")</f>
        <v>Oct</v>
      </c>
      <c r="D559" s="16" t="s">
        <v>36</v>
      </c>
      <c r="E559" s="16" t="str">
        <f aca="false">INDEX(Products!$B$2:$B$9,MATCH(D559,Products!$A$2:$A$9,0))</f>
        <v>Cold Drinks</v>
      </c>
      <c r="F559" s="17" t="n">
        <f aca="false">INDEX(Products!$C$2:$C$9,MATCH(D559,Products!$A$2:$A$9,0))</f>
        <v>3.95</v>
      </c>
      <c r="G559" s="18" t="n">
        <v>60</v>
      </c>
      <c r="H559" s="17" t="n">
        <f aca="false">F559*G559</f>
        <v>237</v>
      </c>
    </row>
    <row r="560" customFormat="false" ht="15" hidden="false" customHeight="false" outlineLevel="0" collapsed="false">
      <c r="A560" s="15" t="n">
        <v>45942</v>
      </c>
      <c r="B560" s="16" t="str">
        <f aca="false">TEXT(A560,"ddd")</f>
        <v>Sun</v>
      </c>
      <c r="C560" s="16" t="str">
        <f aca="false">TEXT(A560,"mmm")</f>
        <v>Oct</v>
      </c>
      <c r="D560" s="16" t="s">
        <v>38</v>
      </c>
      <c r="E560" s="16" t="str">
        <f aca="false">INDEX(Products!$B$2:$B$9,MATCH(D560,Products!$A$2:$A$9,0))</f>
        <v>Cold Drinks</v>
      </c>
      <c r="F560" s="17" t="n">
        <f aca="false">INDEX(Products!$C$2:$C$9,MATCH(D560,Products!$A$2:$A$9,0))</f>
        <v>4.45</v>
      </c>
      <c r="G560" s="18" t="n">
        <v>40</v>
      </c>
      <c r="H560" s="17" t="n">
        <f aca="false">F560*G560</f>
        <v>178</v>
      </c>
    </row>
    <row r="561" customFormat="false" ht="15" hidden="false" customHeight="false" outlineLevel="0" collapsed="false">
      <c r="A561" s="15" t="n">
        <v>45943</v>
      </c>
      <c r="B561" s="16" t="str">
        <f aca="false">TEXT(A561,"ddd")</f>
        <v>Mon</v>
      </c>
      <c r="C561" s="16" t="str">
        <f aca="false">TEXT(A561,"mmm")</f>
        <v>Oct</v>
      </c>
      <c r="D561" s="16" t="s">
        <v>28</v>
      </c>
      <c r="E561" s="16" t="str">
        <f aca="false">INDEX(Products!$B$2:$B$9,MATCH(D561,Products!$A$2:$A$9,0))</f>
        <v>Hot Espresso</v>
      </c>
      <c r="F561" s="17" t="n">
        <f aca="false">INDEX(Products!$C$2:$C$9,MATCH(D561,Products!$A$2:$A$9,0))</f>
        <v>4.95</v>
      </c>
      <c r="G561" s="18" t="n">
        <v>66</v>
      </c>
      <c r="H561" s="17" t="n">
        <f aca="false">F561*G561</f>
        <v>326.7</v>
      </c>
    </row>
    <row r="562" customFormat="false" ht="15" hidden="false" customHeight="false" outlineLevel="0" collapsed="false">
      <c r="A562" s="15" t="n">
        <v>45943</v>
      </c>
      <c r="B562" s="16" t="str">
        <f aca="false">TEXT(A562,"ddd")</f>
        <v>Mon</v>
      </c>
      <c r="C562" s="16" t="str">
        <f aca="false">TEXT(A562,"mmm")</f>
        <v>Oct</v>
      </c>
      <c r="D562" s="16" t="s">
        <v>30</v>
      </c>
      <c r="E562" s="16" t="str">
        <f aca="false">INDEX(Products!$B$2:$B$9,MATCH(D562,Products!$A$2:$A$9,0))</f>
        <v>Hot Espresso</v>
      </c>
      <c r="F562" s="17" t="n">
        <f aca="false">INDEX(Products!$C$2:$C$9,MATCH(D562,Products!$A$2:$A$9,0))</f>
        <v>4.75</v>
      </c>
      <c r="G562" s="18" t="n">
        <v>45</v>
      </c>
      <c r="H562" s="17" t="n">
        <f aca="false">F562*G562</f>
        <v>213.75</v>
      </c>
    </row>
    <row r="563" customFormat="false" ht="15" hidden="false" customHeight="false" outlineLevel="0" collapsed="false">
      <c r="A563" s="15" t="n">
        <v>45943</v>
      </c>
      <c r="B563" s="16" t="str">
        <f aca="false">TEXT(A563,"ddd")</f>
        <v>Mon</v>
      </c>
      <c r="C563" s="16" t="str">
        <f aca="false">TEXT(A563,"mmm")</f>
        <v>Oct</v>
      </c>
      <c r="D563" s="16" t="s">
        <v>31</v>
      </c>
      <c r="E563" s="16" t="str">
        <f aca="false">INDEX(Products!$B$2:$B$9,MATCH(D563,Products!$A$2:$A$9,0))</f>
        <v>Hot Espresso</v>
      </c>
      <c r="F563" s="17" t="n">
        <f aca="false">INDEX(Products!$C$2:$C$9,MATCH(D563,Products!$A$2:$A$9,0))</f>
        <v>5.45</v>
      </c>
      <c r="G563" s="18" t="n">
        <v>48</v>
      </c>
      <c r="H563" s="17" t="n">
        <f aca="false">F563*G563</f>
        <v>261.6</v>
      </c>
    </row>
    <row r="564" customFormat="false" ht="15" hidden="false" customHeight="false" outlineLevel="0" collapsed="false">
      <c r="A564" s="15" t="n">
        <v>45943</v>
      </c>
      <c r="B564" s="16" t="str">
        <f aca="false">TEXT(A564,"ddd")</f>
        <v>Mon</v>
      </c>
      <c r="C564" s="16" t="str">
        <f aca="false">TEXT(A564,"mmm")</f>
        <v>Oct</v>
      </c>
      <c r="D564" s="16" t="s">
        <v>32</v>
      </c>
      <c r="E564" s="16" t="str">
        <f aca="false">INDEX(Products!$B$2:$B$9,MATCH(D564,Products!$A$2:$A$9,0))</f>
        <v>Hot Espresso</v>
      </c>
      <c r="F564" s="17" t="n">
        <f aca="false">INDEX(Products!$C$2:$C$9,MATCH(D564,Products!$A$2:$A$9,0))</f>
        <v>3.75</v>
      </c>
      <c r="G564" s="18" t="n">
        <v>28</v>
      </c>
      <c r="H564" s="17" t="n">
        <f aca="false">F564*G564</f>
        <v>105</v>
      </c>
    </row>
    <row r="565" customFormat="false" ht="15" hidden="false" customHeight="false" outlineLevel="0" collapsed="false">
      <c r="A565" s="15" t="n">
        <v>45943</v>
      </c>
      <c r="B565" s="16" t="str">
        <f aca="false">TEXT(A565,"ddd")</f>
        <v>Mon</v>
      </c>
      <c r="C565" s="16" t="str">
        <f aca="false">TEXT(A565,"mmm")</f>
        <v>Oct</v>
      </c>
      <c r="D565" s="16" t="s">
        <v>33</v>
      </c>
      <c r="E565" s="16" t="str">
        <f aca="false">INDEX(Products!$B$2:$B$9,MATCH(D565,Products!$A$2:$A$9,0))</f>
        <v>Hot Espresso</v>
      </c>
      <c r="F565" s="17" t="n">
        <f aca="false">INDEX(Products!$C$2:$C$9,MATCH(D565,Products!$A$2:$A$9,0))</f>
        <v>5.25</v>
      </c>
      <c r="G565" s="18" t="n">
        <v>38</v>
      </c>
      <c r="H565" s="17" t="n">
        <f aca="false">F565*G565</f>
        <v>199.5</v>
      </c>
    </row>
    <row r="566" customFormat="false" ht="15" hidden="false" customHeight="false" outlineLevel="0" collapsed="false">
      <c r="A566" s="15" t="n">
        <v>45943</v>
      </c>
      <c r="B566" s="16" t="str">
        <f aca="false">TEXT(A566,"ddd")</f>
        <v>Mon</v>
      </c>
      <c r="C566" s="16" t="str">
        <f aca="false">TEXT(A566,"mmm")</f>
        <v>Oct</v>
      </c>
      <c r="D566" s="16" t="s">
        <v>34</v>
      </c>
      <c r="E566" s="16" t="str">
        <f aca="false">INDEX(Products!$B$2:$B$9,MATCH(D566,Products!$A$2:$A$9,0))</f>
        <v>Seasonal</v>
      </c>
      <c r="F566" s="17" t="n">
        <f aca="false">INDEX(Products!$C$2:$C$9,MATCH(D566,Products!$A$2:$A$9,0))</f>
        <v>5.75</v>
      </c>
      <c r="G566" s="18" t="n">
        <v>88</v>
      </c>
      <c r="H566" s="17" t="n">
        <f aca="false">F566*G566</f>
        <v>506</v>
      </c>
    </row>
    <row r="567" customFormat="false" ht="15" hidden="false" customHeight="false" outlineLevel="0" collapsed="false">
      <c r="A567" s="15" t="n">
        <v>45943</v>
      </c>
      <c r="B567" s="16" t="str">
        <f aca="false">TEXT(A567,"ddd")</f>
        <v>Mon</v>
      </c>
      <c r="C567" s="16" t="str">
        <f aca="false">TEXT(A567,"mmm")</f>
        <v>Oct</v>
      </c>
      <c r="D567" s="16" t="s">
        <v>36</v>
      </c>
      <c r="E567" s="16" t="str">
        <f aca="false">INDEX(Products!$B$2:$B$9,MATCH(D567,Products!$A$2:$A$9,0))</f>
        <v>Cold Drinks</v>
      </c>
      <c r="F567" s="17" t="n">
        <f aca="false">INDEX(Products!$C$2:$C$9,MATCH(D567,Products!$A$2:$A$9,0))</f>
        <v>3.95</v>
      </c>
      <c r="G567" s="18" t="n">
        <v>41</v>
      </c>
      <c r="H567" s="17" t="n">
        <f aca="false">F567*G567</f>
        <v>161.95</v>
      </c>
    </row>
    <row r="568" customFormat="false" ht="15" hidden="false" customHeight="false" outlineLevel="0" collapsed="false">
      <c r="A568" s="15" t="n">
        <v>45943</v>
      </c>
      <c r="B568" s="16" t="str">
        <f aca="false">TEXT(A568,"ddd")</f>
        <v>Mon</v>
      </c>
      <c r="C568" s="16" t="str">
        <f aca="false">TEXT(A568,"mmm")</f>
        <v>Oct</v>
      </c>
      <c r="D568" s="16" t="s">
        <v>38</v>
      </c>
      <c r="E568" s="16" t="str">
        <f aca="false">INDEX(Products!$B$2:$B$9,MATCH(D568,Products!$A$2:$A$9,0))</f>
        <v>Cold Drinks</v>
      </c>
      <c r="F568" s="17" t="n">
        <f aca="false">INDEX(Products!$C$2:$C$9,MATCH(D568,Products!$A$2:$A$9,0))</f>
        <v>4.45</v>
      </c>
      <c r="G568" s="18" t="n">
        <v>41</v>
      </c>
      <c r="H568" s="17" t="n">
        <f aca="false">F568*G568</f>
        <v>182.45</v>
      </c>
    </row>
    <row r="569" customFormat="false" ht="15" hidden="false" customHeight="false" outlineLevel="0" collapsed="false">
      <c r="A569" s="15" t="n">
        <v>45944</v>
      </c>
      <c r="B569" s="16" t="str">
        <f aca="false">TEXT(A569,"ddd")</f>
        <v>Tue</v>
      </c>
      <c r="C569" s="16" t="str">
        <f aca="false">TEXT(A569,"mmm")</f>
        <v>Oct</v>
      </c>
      <c r="D569" s="16" t="s">
        <v>28</v>
      </c>
      <c r="E569" s="16" t="str">
        <f aca="false">INDEX(Products!$B$2:$B$9,MATCH(D569,Products!$A$2:$A$9,0))</f>
        <v>Hot Espresso</v>
      </c>
      <c r="F569" s="17" t="n">
        <f aca="false">INDEX(Products!$C$2:$C$9,MATCH(D569,Products!$A$2:$A$9,0))</f>
        <v>4.95</v>
      </c>
      <c r="G569" s="18" t="n">
        <v>80</v>
      </c>
      <c r="H569" s="17" t="n">
        <f aca="false">F569*G569</f>
        <v>396</v>
      </c>
    </row>
    <row r="570" customFormat="false" ht="15" hidden="false" customHeight="false" outlineLevel="0" collapsed="false">
      <c r="A570" s="15" t="n">
        <v>45944</v>
      </c>
      <c r="B570" s="16" t="str">
        <f aca="false">TEXT(A570,"ddd")</f>
        <v>Tue</v>
      </c>
      <c r="C570" s="16" t="str">
        <f aca="false">TEXT(A570,"mmm")</f>
        <v>Oct</v>
      </c>
      <c r="D570" s="16" t="s">
        <v>30</v>
      </c>
      <c r="E570" s="16" t="str">
        <f aca="false">INDEX(Products!$B$2:$B$9,MATCH(D570,Products!$A$2:$A$9,0))</f>
        <v>Hot Espresso</v>
      </c>
      <c r="F570" s="17" t="n">
        <f aca="false">INDEX(Products!$C$2:$C$9,MATCH(D570,Products!$A$2:$A$9,0))</f>
        <v>4.75</v>
      </c>
      <c r="G570" s="18" t="n">
        <v>43</v>
      </c>
      <c r="H570" s="17" t="n">
        <f aca="false">F570*G570</f>
        <v>204.25</v>
      </c>
    </row>
    <row r="571" customFormat="false" ht="15" hidden="false" customHeight="false" outlineLevel="0" collapsed="false">
      <c r="A571" s="15" t="n">
        <v>45944</v>
      </c>
      <c r="B571" s="16" t="str">
        <f aca="false">TEXT(A571,"ddd")</f>
        <v>Tue</v>
      </c>
      <c r="C571" s="16" t="str">
        <f aca="false">TEXT(A571,"mmm")</f>
        <v>Oct</v>
      </c>
      <c r="D571" s="16" t="s">
        <v>31</v>
      </c>
      <c r="E571" s="16" t="str">
        <f aca="false">INDEX(Products!$B$2:$B$9,MATCH(D571,Products!$A$2:$A$9,0))</f>
        <v>Hot Espresso</v>
      </c>
      <c r="F571" s="17" t="n">
        <f aca="false">INDEX(Products!$C$2:$C$9,MATCH(D571,Products!$A$2:$A$9,0))</f>
        <v>5.45</v>
      </c>
      <c r="G571" s="18" t="n">
        <v>42</v>
      </c>
      <c r="H571" s="17" t="n">
        <f aca="false">F571*G571</f>
        <v>228.9</v>
      </c>
    </row>
    <row r="572" customFormat="false" ht="15" hidden="false" customHeight="false" outlineLevel="0" collapsed="false">
      <c r="A572" s="15" t="n">
        <v>45944</v>
      </c>
      <c r="B572" s="16" t="str">
        <f aca="false">TEXT(A572,"ddd")</f>
        <v>Tue</v>
      </c>
      <c r="C572" s="16" t="str">
        <f aca="false">TEXT(A572,"mmm")</f>
        <v>Oct</v>
      </c>
      <c r="D572" s="16" t="s">
        <v>32</v>
      </c>
      <c r="E572" s="16" t="str">
        <f aca="false">INDEX(Products!$B$2:$B$9,MATCH(D572,Products!$A$2:$A$9,0))</f>
        <v>Hot Espresso</v>
      </c>
      <c r="F572" s="17" t="n">
        <f aca="false">INDEX(Products!$C$2:$C$9,MATCH(D572,Products!$A$2:$A$9,0))</f>
        <v>3.75</v>
      </c>
      <c r="G572" s="18" t="n">
        <v>29</v>
      </c>
      <c r="H572" s="17" t="n">
        <f aca="false">F572*G572</f>
        <v>108.75</v>
      </c>
    </row>
    <row r="573" customFormat="false" ht="15" hidden="false" customHeight="false" outlineLevel="0" collapsed="false">
      <c r="A573" s="15" t="n">
        <v>45944</v>
      </c>
      <c r="B573" s="16" t="str">
        <f aca="false">TEXT(A573,"ddd")</f>
        <v>Tue</v>
      </c>
      <c r="C573" s="16" t="str">
        <f aca="false">TEXT(A573,"mmm")</f>
        <v>Oct</v>
      </c>
      <c r="D573" s="16" t="s">
        <v>33</v>
      </c>
      <c r="E573" s="16" t="str">
        <f aca="false">INDEX(Products!$B$2:$B$9,MATCH(D573,Products!$A$2:$A$9,0))</f>
        <v>Hot Espresso</v>
      </c>
      <c r="F573" s="17" t="n">
        <f aca="false">INDEX(Products!$C$2:$C$9,MATCH(D573,Products!$A$2:$A$9,0))</f>
        <v>5.25</v>
      </c>
      <c r="G573" s="18" t="n">
        <v>35</v>
      </c>
      <c r="H573" s="17" t="n">
        <f aca="false">F573*G573</f>
        <v>183.75</v>
      </c>
    </row>
    <row r="574" customFormat="false" ht="15" hidden="false" customHeight="false" outlineLevel="0" collapsed="false">
      <c r="A574" s="15" t="n">
        <v>45944</v>
      </c>
      <c r="B574" s="16" t="str">
        <f aca="false">TEXT(A574,"ddd")</f>
        <v>Tue</v>
      </c>
      <c r="C574" s="16" t="str">
        <f aca="false">TEXT(A574,"mmm")</f>
        <v>Oct</v>
      </c>
      <c r="D574" s="16" t="s">
        <v>34</v>
      </c>
      <c r="E574" s="16" t="str">
        <f aca="false">INDEX(Products!$B$2:$B$9,MATCH(D574,Products!$A$2:$A$9,0))</f>
        <v>Seasonal</v>
      </c>
      <c r="F574" s="17" t="n">
        <f aca="false">INDEX(Products!$C$2:$C$9,MATCH(D574,Products!$A$2:$A$9,0))</f>
        <v>5.75</v>
      </c>
      <c r="G574" s="18" t="n">
        <v>80</v>
      </c>
      <c r="H574" s="17" t="n">
        <f aca="false">F574*G574</f>
        <v>460</v>
      </c>
    </row>
    <row r="575" customFormat="false" ht="15" hidden="false" customHeight="false" outlineLevel="0" collapsed="false">
      <c r="A575" s="15" t="n">
        <v>45944</v>
      </c>
      <c r="B575" s="16" t="str">
        <f aca="false">TEXT(A575,"ddd")</f>
        <v>Tue</v>
      </c>
      <c r="C575" s="16" t="str">
        <f aca="false">TEXT(A575,"mmm")</f>
        <v>Oct</v>
      </c>
      <c r="D575" s="16" t="s">
        <v>36</v>
      </c>
      <c r="E575" s="16" t="str">
        <f aca="false">INDEX(Products!$B$2:$B$9,MATCH(D575,Products!$A$2:$A$9,0))</f>
        <v>Cold Drinks</v>
      </c>
      <c r="F575" s="17" t="n">
        <f aca="false">INDEX(Products!$C$2:$C$9,MATCH(D575,Products!$A$2:$A$9,0))</f>
        <v>3.95</v>
      </c>
      <c r="G575" s="18" t="n">
        <v>37</v>
      </c>
      <c r="H575" s="17" t="n">
        <f aca="false">F575*G575</f>
        <v>146.15</v>
      </c>
    </row>
    <row r="576" customFormat="false" ht="15" hidden="false" customHeight="false" outlineLevel="0" collapsed="false">
      <c r="A576" s="15" t="n">
        <v>45944</v>
      </c>
      <c r="B576" s="16" t="str">
        <f aca="false">TEXT(A576,"ddd")</f>
        <v>Tue</v>
      </c>
      <c r="C576" s="16" t="str">
        <f aca="false">TEXT(A576,"mmm")</f>
        <v>Oct</v>
      </c>
      <c r="D576" s="16" t="s">
        <v>38</v>
      </c>
      <c r="E576" s="16" t="str">
        <f aca="false">INDEX(Products!$B$2:$B$9,MATCH(D576,Products!$A$2:$A$9,0))</f>
        <v>Cold Drinks</v>
      </c>
      <c r="F576" s="17" t="n">
        <f aca="false">INDEX(Products!$C$2:$C$9,MATCH(D576,Products!$A$2:$A$9,0))</f>
        <v>4.45</v>
      </c>
      <c r="G576" s="18" t="n">
        <v>35</v>
      </c>
      <c r="H576" s="17" t="n">
        <f aca="false">F576*G576</f>
        <v>155.75</v>
      </c>
    </row>
    <row r="577" customFormat="false" ht="15" hidden="false" customHeight="false" outlineLevel="0" collapsed="false">
      <c r="A577" s="15" t="n">
        <v>45945</v>
      </c>
      <c r="B577" s="16" t="str">
        <f aca="false">TEXT(A577,"ddd")</f>
        <v>Wed</v>
      </c>
      <c r="C577" s="16" t="str">
        <f aca="false">TEXT(A577,"mmm")</f>
        <v>Oct</v>
      </c>
      <c r="D577" s="16" t="s">
        <v>28</v>
      </c>
      <c r="E577" s="16" t="str">
        <f aca="false">INDEX(Products!$B$2:$B$9,MATCH(D577,Products!$A$2:$A$9,0))</f>
        <v>Hot Espresso</v>
      </c>
      <c r="F577" s="17" t="n">
        <f aca="false">INDEX(Products!$C$2:$C$9,MATCH(D577,Products!$A$2:$A$9,0))</f>
        <v>4.95</v>
      </c>
      <c r="G577" s="18" t="n">
        <v>81</v>
      </c>
      <c r="H577" s="17" t="n">
        <f aca="false">F577*G577</f>
        <v>400.95</v>
      </c>
    </row>
    <row r="578" customFormat="false" ht="15" hidden="false" customHeight="false" outlineLevel="0" collapsed="false">
      <c r="A578" s="15" t="n">
        <v>45945</v>
      </c>
      <c r="B578" s="16" t="str">
        <f aca="false">TEXT(A578,"ddd")</f>
        <v>Wed</v>
      </c>
      <c r="C578" s="16" t="str">
        <f aca="false">TEXT(A578,"mmm")</f>
        <v>Oct</v>
      </c>
      <c r="D578" s="16" t="s">
        <v>30</v>
      </c>
      <c r="E578" s="16" t="str">
        <f aca="false">INDEX(Products!$B$2:$B$9,MATCH(D578,Products!$A$2:$A$9,0))</f>
        <v>Hot Espresso</v>
      </c>
      <c r="F578" s="17" t="n">
        <f aca="false">INDEX(Products!$C$2:$C$9,MATCH(D578,Products!$A$2:$A$9,0))</f>
        <v>4.75</v>
      </c>
      <c r="G578" s="18" t="n">
        <v>44</v>
      </c>
      <c r="H578" s="17" t="n">
        <f aca="false">F578*G578</f>
        <v>209</v>
      </c>
    </row>
    <row r="579" customFormat="false" ht="15" hidden="false" customHeight="false" outlineLevel="0" collapsed="false">
      <c r="A579" s="15" t="n">
        <v>45945</v>
      </c>
      <c r="B579" s="16" t="str">
        <f aca="false">TEXT(A579,"ddd")</f>
        <v>Wed</v>
      </c>
      <c r="C579" s="16" t="str">
        <f aca="false">TEXT(A579,"mmm")</f>
        <v>Oct</v>
      </c>
      <c r="D579" s="16" t="s">
        <v>31</v>
      </c>
      <c r="E579" s="16" t="str">
        <f aca="false">INDEX(Products!$B$2:$B$9,MATCH(D579,Products!$A$2:$A$9,0))</f>
        <v>Hot Espresso</v>
      </c>
      <c r="F579" s="17" t="n">
        <f aca="false">INDEX(Products!$C$2:$C$9,MATCH(D579,Products!$A$2:$A$9,0))</f>
        <v>5.45</v>
      </c>
      <c r="G579" s="18" t="n">
        <v>46</v>
      </c>
      <c r="H579" s="17" t="n">
        <f aca="false">F579*G579</f>
        <v>250.7</v>
      </c>
    </row>
    <row r="580" customFormat="false" ht="15" hidden="false" customHeight="false" outlineLevel="0" collapsed="false">
      <c r="A580" s="15" t="n">
        <v>45945</v>
      </c>
      <c r="B580" s="16" t="str">
        <f aca="false">TEXT(A580,"ddd")</f>
        <v>Wed</v>
      </c>
      <c r="C580" s="16" t="str">
        <f aca="false">TEXT(A580,"mmm")</f>
        <v>Oct</v>
      </c>
      <c r="D580" s="16" t="s">
        <v>32</v>
      </c>
      <c r="E580" s="16" t="str">
        <f aca="false">INDEX(Products!$B$2:$B$9,MATCH(D580,Products!$A$2:$A$9,0))</f>
        <v>Hot Espresso</v>
      </c>
      <c r="F580" s="17" t="n">
        <f aca="false">INDEX(Products!$C$2:$C$9,MATCH(D580,Products!$A$2:$A$9,0))</f>
        <v>3.75</v>
      </c>
      <c r="G580" s="18" t="n">
        <v>26</v>
      </c>
      <c r="H580" s="17" t="n">
        <f aca="false">F580*G580</f>
        <v>97.5</v>
      </c>
    </row>
    <row r="581" customFormat="false" ht="15" hidden="false" customHeight="false" outlineLevel="0" collapsed="false">
      <c r="A581" s="15" t="n">
        <v>45945</v>
      </c>
      <c r="B581" s="16" t="str">
        <f aca="false">TEXT(A581,"ddd")</f>
        <v>Wed</v>
      </c>
      <c r="C581" s="16" t="str">
        <f aca="false">TEXT(A581,"mmm")</f>
        <v>Oct</v>
      </c>
      <c r="D581" s="16" t="s">
        <v>33</v>
      </c>
      <c r="E581" s="16" t="str">
        <f aca="false">INDEX(Products!$B$2:$B$9,MATCH(D581,Products!$A$2:$A$9,0))</f>
        <v>Hot Espresso</v>
      </c>
      <c r="F581" s="17" t="n">
        <f aca="false">INDEX(Products!$C$2:$C$9,MATCH(D581,Products!$A$2:$A$9,0))</f>
        <v>5.25</v>
      </c>
      <c r="G581" s="18" t="n">
        <v>40</v>
      </c>
      <c r="H581" s="17" t="n">
        <f aca="false">F581*G581</f>
        <v>210</v>
      </c>
    </row>
    <row r="582" customFormat="false" ht="15" hidden="false" customHeight="false" outlineLevel="0" collapsed="false">
      <c r="A582" s="15" t="n">
        <v>45945</v>
      </c>
      <c r="B582" s="16" t="str">
        <f aca="false">TEXT(A582,"ddd")</f>
        <v>Wed</v>
      </c>
      <c r="C582" s="16" t="str">
        <f aca="false">TEXT(A582,"mmm")</f>
        <v>Oct</v>
      </c>
      <c r="D582" s="16" t="s">
        <v>34</v>
      </c>
      <c r="E582" s="16" t="str">
        <f aca="false">INDEX(Products!$B$2:$B$9,MATCH(D582,Products!$A$2:$A$9,0))</f>
        <v>Seasonal</v>
      </c>
      <c r="F582" s="17" t="n">
        <f aca="false">INDEX(Products!$C$2:$C$9,MATCH(D582,Products!$A$2:$A$9,0))</f>
        <v>5.75</v>
      </c>
      <c r="G582" s="18" t="n">
        <v>80</v>
      </c>
      <c r="H582" s="17" t="n">
        <f aca="false">F582*G582</f>
        <v>460</v>
      </c>
    </row>
    <row r="583" customFormat="false" ht="15" hidden="false" customHeight="false" outlineLevel="0" collapsed="false">
      <c r="A583" s="15" t="n">
        <v>45945</v>
      </c>
      <c r="B583" s="16" t="str">
        <f aca="false">TEXT(A583,"ddd")</f>
        <v>Wed</v>
      </c>
      <c r="C583" s="16" t="str">
        <f aca="false">TEXT(A583,"mmm")</f>
        <v>Oct</v>
      </c>
      <c r="D583" s="16" t="s">
        <v>36</v>
      </c>
      <c r="E583" s="16" t="str">
        <f aca="false">INDEX(Products!$B$2:$B$9,MATCH(D583,Products!$A$2:$A$9,0))</f>
        <v>Cold Drinks</v>
      </c>
      <c r="F583" s="17" t="n">
        <f aca="false">INDEX(Products!$C$2:$C$9,MATCH(D583,Products!$A$2:$A$9,0))</f>
        <v>3.95</v>
      </c>
      <c r="G583" s="18" t="n">
        <v>53</v>
      </c>
      <c r="H583" s="17" t="n">
        <f aca="false">F583*G583</f>
        <v>209.35</v>
      </c>
    </row>
    <row r="584" customFormat="false" ht="15" hidden="false" customHeight="false" outlineLevel="0" collapsed="false">
      <c r="A584" s="15" t="n">
        <v>45945</v>
      </c>
      <c r="B584" s="16" t="str">
        <f aca="false">TEXT(A584,"ddd")</f>
        <v>Wed</v>
      </c>
      <c r="C584" s="16" t="str">
        <f aca="false">TEXT(A584,"mmm")</f>
        <v>Oct</v>
      </c>
      <c r="D584" s="16" t="s">
        <v>38</v>
      </c>
      <c r="E584" s="16" t="str">
        <f aca="false">INDEX(Products!$B$2:$B$9,MATCH(D584,Products!$A$2:$A$9,0))</f>
        <v>Cold Drinks</v>
      </c>
      <c r="F584" s="17" t="n">
        <f aca="false">INDEX(Products!$C$2:$C$9,MATCH(D584,Products!$A$2:$A$9,0))</f>
        <v>4.45</v>
      </c>
      <c r="G584" s="18" t="n">
        <v>36</v>
      </c>
      <c r="H584" s="17" t="n">
        <f aca="false">F584*G584</f>
        <v>160.2</v>
      </c>
    </row>
    <row r="585" customFormat="false" ht="15" hidden="false" customHeight="false" outlineLevel="0" collapsed="false">
      <c r="A585" s="15" t="n">
        <v>45946</v>
      </c>
      <c r="B585" s="16" t="str">
        <f aca="false">TEXT(A585,"ddd")</f>
        <v>Thu</v>
      </c>
      <c r="C585" s="16" t="str">
        <f aca="false">TEXT(A585,"mmm")</f>
        <v>Oct</v>
      </c>
      <c r="D585" s="16" t="s">
        <v>28</v>
      </c>
      <c r="E585" s="16" t="str">
        <f aca="false">INDEX(Products!$B$2:$B$9,MATCH(D585,Products!$A$2:$A$9,0))</f>
        <v>Hot Espresso</v>
      </c>
      <c r="F585" s="17" t="n">
        <f aca="false">INDEX(Products!$C$2:$C$9,MATCH(D585,Products!$A$2:$A$9,0))</f>
        <v>4.95</v>
      </c>
      <c r="G585" s="18" t="n">
        <v>69</v>
      </c>
      <c r="H585" s="17" t="n">
        <f aca="false">F585*G585</f>
        <v>341.55</v>
      </c>
    </row>
    <row r="586" customFormat="false" ht="15" hidden="false" customHeight="false" outlineLevel="0" collapsed="false">
      <c r="A586" s="15" t="n">
        <v>45946</v>
      </c>
      <c r="B586" s="16" t="str">
        <f aca="false">TEXT(A586,"ddd")</f>
        <v>Thu</v>
      </c>
      <c r="C586" s="16" t="str">
        <f aca="false">TEXT(A586,"mmm")</f>
        <v>Oct</v>
      </c>
      <c r="D586" s="16" t="s">
        <v>30</v>
      </c>
      <c r="E586" s="16" t="str">
        <f aca="false">INDEX(Products!$B$2:$B$9,MATCH(D586,Products!$A$2:$A$9,0))</f>
        <v>Hot Espresso</v>
      </c>
      <c r="F586" s="17" t="n">
        <f aca="false">INDEX(Products!$C$2:$C$9,MATCH(D586,Products!$A$2:$A$9,0))</f>
        <v>4.75</v>
      </c>
      <c r="G586" s="18" t="n">
        <v>50</v>
      </c>
      <c r="H586" s="17" t="n">
        <f aca="false">F586*G586</f>
        <v>237.5</v>
      </c>
    </row>
    <row r="587" customFormat="false" ht="15" hidden="false" customHeight="false" outlineLevel="0" collapsed="false">
      <c r="A587" s="15" t="n">
        <v>45946</v>
      </c>
      <c r="B587" s="16" t="str">
        <f aca="false">TEXT(A587,"ddd")</f>
        <v>Thu</v>
      </c>
      <c r="C587" s="16" t="str">
        <f aca="false">TEXT(A587,"mmm")</f>
        <v>Oct</v>
      </c>
      <c r="D587" s="16" t="s">
        <v>31</v>
      </c>
      <c r="E587" s="16" t="str">
        <f aca="false">INDEX(Products!$B$2:$B$9,MATCH(D587,Products!$A$2:$A$9,0))</f>
        <v>Hot Espresso</v>
      </c>
      <c r="F587" s="17" t="n">
        <f aca="false">INDEX(Products!$C$2:$C$9,MATCH(D587,Products!$A$2:$A$9,0))</f>
        <v>5.45</v>
      </c>
      <c r="G587" s="18" t="n">
        <v>45</v>
      </c>
      <c r="H587" s="17" t="n">
        <f aca="false">F587*G587</f>
        <v>245.25</v>
      </c>
    </row>
    <row r="588" customFormat="false" ht="15" hidden="false" customHeight="false" outlineLevel="0" collapsed="false">
      <c r="A588" s="15" t="n">
        <v>45946</v>
      </c>
      <c r="B588" s="16" t="str">
        <f aca="false">TEXT(A588,"ddd")</f>
        <v>Thu</v>
      </c>
      <c r="C588" s="16" t="str">
        <f aca="false">TEXT(A588,"mmm")</f>
        <v>Oct</v>
      </c>
      <c r="D588" s="16" t="s">
        <v>32</v>
      </c>
      <c r="E588" s="16" t="str">
        <f aca="false">INDEX(Products!$B$2:$B$9,MATCH(D588,Products!$A$2:$A$9,0))</f>
        <v>Hot Espresso</v>
      </c>
      <c r="F588" s="17" t="n">
        <f aca="false">INDEX(Products!$C$2:$C$9,MATCH(D588,Products!$A$2:$A$9,0))</f>
        <v>3.75</v>
      </c>
      <c r="G588" s="18" t="n">
        <v>27</v>
      </c>
      <c r="H588" s="17" t="n">
        <f aca="false">F588*G588</f>
        <v>101.25</v>
      </c>
    </row>
    <row r="589" customFormat="false" ht="15" hidden="false" customHeight="false" outlineLevel="0" collapsed="false">
      <c r="A589" s="15" t="n">
        <v>45946</v>
      </c>
      <c r="B589" s="16" t="str">
        <f aca="false">TEXT(A589,"ddd")</f>
        <v>Thu</v>
      </c>
      <c r="C589" s="16" t="str">
        <f aca="false">TEXT(A589,"mmm")</f>
        <v>Oct</v>
      </c>
      <c r="D589" s="16" t="s">
        <v>33</v>
      </c>
      <c r="E589" s="16" t="str">
        <f aca="false">INDEX(Products!$B$2:$B$9,MATCH(D589,Products!$A$2:$A$9,0))</f>
        <v>Hot Espresso</v>
      </c>
      <c r="F589" s="17" t="n">
        <f aca="false">INDEX(Products!$C$2:$C$9,MATCH(D589,Products!$A$2:$A$9,0))</f>
        <v>5.25</v>
      </c>
      <c r="G589" s="18" t="n">
        <v>39</v>
      </c>
      <c r="H589" s="17" t="n">
        <f aca="false">F589*G589</f>
        <v>204.75</v>
      </c>
    </row>
    <row r="590" customFormat="false" ht="15" hidden="false" customHeight="false" outlineLevel="0" collapsed="false">
      <c r="A590" s="15" t="n">
        <v>45946</v>
      </c>
      <c r="B590" s="16" t="str">
        <f aca="false">TEXT(A590,"ddd")</f>
        <v>Thu</v>
      </c>
      <c r="C590" s="16" t="str">
        <f aca="false">TEXT(A590,"mmm")</f>
        <v>Oct</v>
      </c>
      <c r="D590" s="16" t="s">
        <v>34</v>
      </c>
      <c r="E590" s="16" t="str">
        <f aca="false">INDEX(Products!$B$2:$B$9,MATCH(D590,Products!$A$2:$A$9,0))</f>
        <v>Seasonal</v>
      </c>
      <c r="F590" s="17" t="n">
        <f aca="false">INDEX(Products!$C$2:$C$9,MATCH(D590,Products!$A$2:$A$9,0))</f>
        <v>5.75</v>
      </c>
      <c r="G590" s="18" t="n">
        <v>81</v>
      </c>
      <c r="H590" s="17" t="n">
        <f aca="false">F590*G590</f>
        <v>465.75</v>
      </c>
    </row>
    <row r="591" customFormat="false" ht="15" hidden="false" customHeight="false" outlineLevel="0" collapsed="false">
      <c r="A591" s="15" t="n">
        <v>45946</v>
      </c>
      <c r="B591" s="16" t="str">
        <f aca="false">TEXT(A591,"ddd")</f>
        <v>Thu</v>
      </c>
      <c r="C591" s="16" t="str">
        <f aca="false">TEXT(A591,"mmm")</f>
        <v>Oct</v>
      </c>
      <c r="D591" s="16" t="s">
        <v>36</v>
      </c>
      <c r="E591" s="16" t="str">
        <f aca="false">INDEX(Products!$B$2:$B$9,MATCH(D591,Products!$A$2:$A$9,0))</f>
        <v>Cold Drinks</v>
      </c>
      <c r="F591" s="17" t="n">
        <f aca="false">INDEX(Products!$C$2:$C$9,MATCH(D591,Products!$A$2:$A$9,0))</f>
        <v>3.95</v>
      </c>
      <c r="G591" s="18" t="n">
        <v>46</v>
      </c>
      <c r="H591" s="17" t="n">
        <f aca="false">F591*G591</f>
        <v>181.7</v>
      </c>
    </row>
    <row r="592" customFormat="false" ht="15" hidden="false" customHeight="false" outlineLevel="0" collapsed="false">
      <c r="A592" s="15" t="n">
        <v>45946</v>
      </c>
      <c r="B592" s="16" t="str">
        <f aca="false">TEXT(A592,"ddd")</f>
        <v>Thu</v>
      </c>
      <c r="C592" s="16" t="str">
        <f aca="false">TEXT(A592,"mmm")</f>
        <v>Oct</v>
      </c>
      <c r="D592" s="16" t="s">
        <v>38</v>
      </c>
      <c r="E592" s="16" t="str">
        <f aca="false">INDEX(Products!$B$2:$B$9,MATCH(D592,Products!$A$2:$A$9,0))</f>
        <v>Cold Drinks</v>
      </c>
      <c r="F592" s="17" t="n">
        <f aca="false">INDEX(Products!$C$2:$C$9,MATCH(D592,Products!$A$2:$A$9,0))</f>
        <v>4.45</v>
      </c>
      <c r="G592" s="18" t="n">
        <v>36</v>
      </c>
      <c r="H592" s="17" t="n">
        <f aca="false">F592*G592</f>
        <v>160.2</v>
      </c>
    </row>
    <row r="593" customFormat="false" ht="15" hidden="false" customHeight="false" outlineLevel="0" collapsed="false">
      <c r="A593" s="15" t="n">
        <v>45947</v>
      </c>
      <c r="B593" s="16" t="str">
        <f aca="false">TEXT(A593,"ddd")</f>
        <v>Fri</v>
      </c>
      <c r="C593" s="16" t="str">
        <f aca="false">TEXT(A593,"mmm")</f>
        <v>Oct</v>
      </c>
      <c r="D593" s="16" t="s">
        <v>28</v>
      </c>
      <c r="E593" s="16" t="str">
        <f aca="false">INDEX(Products!$B$2:$B$9,MATCH(D593,Products!$A$2:$A$9,0))</f>
        <v>Hot Espresso</v>
      </c>
      <c r="F593" s="17" t="n">
        <f aca="false">INDEX(Products!$C$2:$C$9,MATCH(D593,Products!$A$2:$A$9,0))</f>
        <v>4.95</v>
      </c>
      <c r="G593" s="18" t="n">
        <v>69</v>
      </c>
      <c r="H593" s="17" t="n">
        <f aca="false">F593*G593</f>
        <v>341.55</v>
      </c>
    </row>
    <row r="594" customFormat="false" ht="15" hidden="false" customHeight="false" outlineLevel="0" collapsed="false">
      <c r="A594" s="15" t="n">
        <v>45947</v>
      </c>
      <c r="B594" s="16" t="str">
        <f aca="false">TEXT(A594,"ddd")</f>
        <v>Fri</v>
      </c>
      <c r="C594" s="16" t="str">
        <f aca="false">TEXT(A594,"mmm")</f>
        <v>Oct</v>
      </c>
      <c r="D594" s="16" t="s">
        <v>30</v>
      </c>
      <c r="E594" s="16" t="str">
        <f aca="false">INDEX(Products!$B$2:$B$9,MATCH(D594,Products!$A$2:$A$9,0))</f>
        <v>Hot Espresso</v>
      </c>
      <c r="F594" s="17" t="n">
        <f aca="false">INDEX(Products!$C$2:$C$9,MATCH(D594,Products!$A$2:$A$9,0))</f>
        <v>4.75</v>
      </c>
      <c r="G594" s="18" t="n">
        <v>50</v>
      </c>
      <c r="H594" s="17" t="n">
        <f aca="false">F594*G594</f>
        <v>237.5</v>
      </c>
    </row>
    <row r="595" customFormat="false" ht="15" hidden="false" customHeight="false" outlineLevel="0" collapsed="false">
      <c r="A595" s="15" t="n">
        <v>45947</v>
      </c>
      <c r="B595" s="16" t="str">
        <f aca="false">TEXT(A595,"ddd")</f>
        <v>Fri</v>
      </c>
      <c r="C595" s="16" t="str">
        <f aca="false">TEXT(A595,"mmm")</f>
        <v>Oct</v>
      </c>
      <c r="D595" s="16" t="s">
        <v>31</v>
      </c>
      <c r="E595" s="16" t="str">
        <f aca="false">INDEX(Products!$B$2:$B$9,MATCH(D595,Products!$A$2:$A$9,0))</f>
        <v>Hot Espresso</v>
      </c>
      <c r="F595" s="17" t="n">
        <f aca="false">INDEX(Products!$C$2:$C$9,MATCH(D595,Products!$A$2:$A$9,0))</f>
        <v>5.45</v>
      </c>
      <c r="G595" s="18" t="n">
        <v>54</v>
      </c>
      <c r="H595" s="17" t="n">
        <f aca="false">F595*G595</f>
        <v>294.3</v>
      </c>
    </row>
    <row r="596" customFormat="false" ht="15" hidden="false" customHeight="false" outlineLevel="0" collapsed="false">
      <c r="A596" s="15" t="n">
        <v>45947</v>
      </c>
      <c r="B596" s="16" t="str">
        <f aca="false">TEXT(A596,"ddd")</f>
        <v>Fri</v>
      </c>
      <c r="C596" s="16" t="str">
        <f aca="false">TEXT(A596,"mmm")</f>
        <v>Oct</v>
      </c>
      <c r="D596" s="16" t="s">
        <v>32</v>
      </c>
      <c r="E596" s="16" t="str">
        <f aca="false">INDEX(Products!$B$2:$B$9,MATCH(D596,Products!$A$2:$A$9,0))</f>
        <v>Hot Espresso</v>
      </c>
      <c r="F596" s="17" t="n">
        <f aca="false">INDEX(Products!$C$2:$C$9,MATCH(D596,Products!$A$2:$A$9,0))</f>
        <v>3.75</v>
      </c>
      <c r="G596" s="18" t="n">
        <v>27</v>
      </c>
      <c r="H596" s="17" t="n">
        <f aca="false">F596*G596</f>
        <v>101.25</v>
      </c>
    </row>
    <row r="597" customFormat="false" ht="15" hidden="false" customHeight="false" outlineLevel="0" collapsed="false">
      <c r="A597" s="15" t="n">
        <v>45947</v>
      </c>
      <c r="B597" s="16" t="str">
        <f aca="false">TEXT(A597,"ddd")</f>
        <v>Fri</v>
      </c>
      <c r="C597" s="16" t="str">
        <f aca="false">TEXT(A597,"mmm")</f>
        <v>Oct</v>
      </c>
      <c r="D597" s="16" t="s">
        <v>33</v>
      </c>
      <c r="E597" s="16" t="str">
        <f aca="false">INDEX(Products!$B$2:$B$9,MATCH(D597,Products!$A$2:$A$9,0))</f>
        <v>Hot Espresso</v>
      </c>
      <c r="F597" s="17" t="n">
        <f aca="false">INDEX(Products!$C$2:$C$9,MATCH(D597,Products!$A$2:$A$9,0))</f>
        <v>5.25</v>
      </c>
      <c r="G597" s="18" t="n">
        <v>43</v>
      </c>
      <c r="H597" s="17" t="n">
        <f aca="false">F597*G597</f>
        <v>225.75</v>
      </c>
    </row>
    <row r="598" customFormat="false" ht="15" hidden="false" customHeight="false" outlineLevel="0" collapsed="false">
      <c r="A598" s="15" t="n">
        <v>45947</v>
      </c>
      <c r="B598" s="16" t="str">
        <f aca="false">TEXT(A598,"ddd")</f>
        <v>Fri</v>
      </c>
      <c r="C598" s="16" t="str">
        <f aca="false">TEXT(A598,"mmm")</f>
        <v>Oct</v>
      </c>
      <c r="D598" s="16" t="s">
        <v>34</v>
      </c>
      <c r="E598" s="16" t="str">
        <f aca="false">INDEX(Products!$B$2:$B$9,MATCH(D598,Products!$A$2:$A$9,0))</f>
        <v>Seasonal</v>
      </c>
      <c r="F598" s="17" t="n">
        <f aca="false">INDEX(Products!$C$2:$C$9,MATCH(D598,Products!$A$2:$A$9,0))</f>
        <v>5.75</v>
      </c>
      <c r="G598" s="18" t="n">
        <v>81</v>
      </c>
      <c r="H598" s="17" t="n">
        <f aca="false">F598*G598</f>
        <v>465.75</v>
      </c>
    </row>
    <row r="599" customFormat="false" ht="15" hidden="false" customHeight="false" outlineLevel="0" collapsed="false">
      <c r="A599" s="15" t="n">
        <v>45947</v>
      </c>
      <c r="B599" s="16" t="str">
        <f aca="false">TEXT(A599,"ddd")</f>
        <v>Fri</v>
      </c>
      <c r="C599" s="16" t="str">
        <f aca="false">TEXT(A599,"mmm")</f>
        <v>Oct</v>
      </c>
      <c r="D599" s="16" t="s">
        <v>36</v>
      </c>
      <c r="E599" s="16" t="str">
        <f aca="false">INDEX(Products!$B$2:$B$9,MATCH(D599,Products!$A$2:$A$9,0))</f>
        <v>Cold Drinks</v>
      </c>
      <c r="F599" s="17" t="n">
        <f aca="false">INDEX(Products!$C$2:$C$9,MATCH(D599,Products!$A$2:$A$9,0))</f>
        <v>3.95</v>
      </c>
      <c r="G599" s="18" t="n">
        <v>43</v>
      </c>
      <c r="H599" s="17" t="n">
        <f aca="false">F599*G599</f>
        <v>169.85</v>
      </c>
    </row>
    <row r="600" customFormat="false" ht="15" hidden="false" customHeight="false" outlineLevel="0" collapsed="false">
      <c r="A600" s="15" t="n">
        <v>45947</v>
      </c>
      <c r="B600" s="16" t="str">
        <f aca="false">TEXT(A600,"ddd")</f>
        <v>Fri</v>
      </c>
      <c r="C600" s="16" t="str">
        <f aca="false">TEXT(A600,"mmm")</f>
        <v>Oct</v>
      </c>
      <c r="D600" s="16" t="s">
        <v>38</v>
      </c>
      <c r="E600" s="16" t="str">
        <f aca="false">INDEX(Products!$B$2:$B$9,MATCH(D600,Products!$A$2:$A$9,0))</f>
        <v>Cold Drinks</v>
      </c>
      <c r="F600" s="17" t="n">
        <f aca="false">INDEX(Products!$C$2:$C$9,MATCH(D600,Products!$A$2:$A$9,0))</f>
        <v>4.45</v>
      </c>
      <c r="G600" s="18" t="n">
        <v>41</v>
      </c>
      <c r="H600" s="17" t="n">
        <f aca="false">F600*G600</f>
        <v>182.45</v>
      </c>
    </row>
    <row r="601" customFormat="false" ht="15" hidden="false" customHeight="false" outlineLevel="0" collapsed="false">
      <c r="A601" s="15" t="n">
        <v>45948</v>
      </c>
      <c r="B601" s="16" t="str">
        <f aca="false">TEXT(A601,"ddd")</f>
        <v>Sat</v>
      </c>
      <c r="C601" s="16" t="str">
        <f aca="false">TEXT(A601,"mmm")</f>
        <v>Oct</v>
      </c>
      <c r="D601" s="16" t="s">
        <v>28</v>
      </c>
      <c r="E601" s="16" t="str">
        <f aca="false">INDEX(Products!$B$2:$B$9,MATCH(D601,Products!$A$2:$A$9,0))</f>
        <v>Hot Espresso</v>
      </c>
      <c r="F601" s="17" t="n">
        <f aca="false">INDEX(Products!$C$2:$C$9,MATCH(D601,Products!$A$2:$A$9,0))</f>
        <v>4.95</v>
      </c>
      <c r="G601" s="18" t="n">
        <v>86</v>
      </c>
      <c r="H601" s="17" t="n">
        <f aca="false">F601*G601</f>
        <v>425.7</v>
      </c>
    </row>
    <row r="602" customFormat="false" ht="15" hidden="false" customHeight="false" outlineLevel="0" collapsed="false">
      <c r="A602" s="15" t="n">
        <v>45948</v>
      </c>
      <c r="B602" s="16" t="str">
        <f aca="false">TEXT(A602,"ddd")</f>
        <v>Sat</v>
      </c>
      <c r="C602" s="16" t="str">
        <f aca="false">TEXT(A602,"mmm")</f>
        <v>Oct</v>
      </c>
      <c r="D602" s="16" t="s">
        <v>30</v>
      </c>
      <c r="E602" s="16" t="str">
        <f aca="false">INDEX(Products!$B$2:$B$9,MATCH(D602,Products!$A$2:$A$9,0))</f>
        <v>Hot Espresso</v>
      </c>
      <c r="F602" s="17" t="n">
        <f aca="false">INDEX(Products!$C$2:$C$9,MATCH(D602,Products!$A$2:$A$9,0))</f>
        <v>4.75</v>
      </c>
      <c r="G602" s="18" t="n">
        <v>63</v>
      </c>
      <c r="H602" s="17" t="n">
        <f aca="false">F602*G602</f>
        <v>299.25</v>
      </c>
    </row>
    <row r="603" customFormat="false" ht="15" hidden="false" customHeight="false" outlineLevel="0" collapsed="false">
      <c r="A603" s="15" t="n">
        <v>45948</v>
      </c>
      <c r="B603" s="16" t="str">
        <f aca="false">TEXT(A603,"ddd")</f>
        <v>Sat</v>
      </c>
      <c r="C603" s="16" t="str">
        <f aca="false">TEXT(A603,"mmm")</f>
        <v>Oct</v>
      </c>
      <c r="D603" s="16" t="s">
        <v>31</v>
      </c>
      <c r="E603" s="16" t="str">
        <f aca="false">INDEX(Products!$B$2:$B$9,MATCH(D603,Products!$A$2:$A$9,0))</f>
        <v>Hot Espresso</v>
      </c>
      <c r="F603" s="17" t="n">
        <f aca="false">INDEX(Products!$C$2:$C$9,MATCH(D603,Products!$A$2:$A$9,0))</f>
        <v>5.45</v>
      </c>
      <c r="G603" s="18" t="n">
        <v>60</v>
      </c>
      <c r="H603" s="17" t="n">
        <f aca="false">F603*G603</f>
        <v>327</v>
      </c>
    </row>
    <row r="604" customFormat="false" ht="15" hidden="false" customHeight="false" outlineLevel="0" collapsed="false">
      <c r="A604" s="15" t="n">
        <v>45948</v>
      </c>
      <c r="B604" s="16" t="str">
        <f aca="false">TEXT(A604,"ddd")</f>
        <v>Sat</v>
      </c>
      <c r="C604" s="16" t="str">
        <f aca="false">TEXT(A604,"mmm")</f>
        <v>Oct</v>
      </c>
      <c r="D604" s="16" t="s">
        <v>32</v>
      </c>
      <c r="E604" s="16" t="str">
        <f aca="false">INDEX(Products!$B$2:$B$9,MATCH(D604,Products!$A$2:$A$9,0))</f>
        <v>Hot Espresso</v>
      </c>
      <c r="F604" s="17" t="n">
        <f aca="false">INDEX(Products!$C$2:$C$9,MATCH(D604,Products!$A$2:$A$9,0))</f>
        <v>3.75</v>
      </c>
      <c r="G604" s="18" t="n">
        <v>31</v>
      </c>
      <c r="H604" s="17" t="n">
        <f aca="false">F604*G604</f>
        <v>116.25</v>
      </c>
    </row>
    <row r="605" customFormat="false" ht="15" hidden="false" customHeight="false" outlineLevel="0" collapsed="false">
      <c r="A605" s="15" t="n">
        <v>45948</v>
      </c>
      <c r="B605" s="16" t="str">
        <f aca="false">TEXT(A605,"ddd")</f>
        <v>Sat</v>
      </c>
      <c r="C605" s="16" t="str">
        <f aca="false">TEXT(A605,"mmm")</f>
        <v>Oct</v>
      </c>
      <c r="D605" s="16" t="s">
        <v>33</v>
      </c>
      <c r="E605" s="16" t="str">
        <f aca="false">INDEX(Products!$B$2:$B$9,MATCH(D605,Products!$A$2:$A$9,0))</f>
        <v>Hot Espresso</v>
      </c>
      <c r="F605" s="17" t="n">
        <f aca="false">INDEX(Products!$C$2:$C$9,MATCH(D605,Products!$A$2:$A$9,0))</f>
        <v>5.25</v>
      </c>
      <c r="G605" s="18" t="n">
        <v>45</v>
      </c>
      <c r="H605" s="17" t="n">
        <f aca="false">F605*G605</f>
        <v>236.25</v>
      </c>
    </row>
    <row r="606" customFormat="false" ht="15" hidden="false" customHeight="false" outlineLevel="0" collapsed="false">
      <c r="A606" s="15" t="n">
        <v>45948</v>
      </c>
      <c r="B606" s="16" t="str">
        <f aca="false">TEXT(A606,"ddd")</f>
        <v>Sat</v>
      </c>
      <c r="C606" s="16" t="str">
        <f aca="false">TEXT(A606,"mmm")</f>
        <v>Oct</v>
      </c>
      <c r="D606" s="16" t="s">
        <v>34</v>
      </c>
      <c r="E606" s="16" t="str">
        <f aca="false">INDEX(Products!$B$2:$B$9,MATCH(D606,Products!$A$2:$A$9,0))</f>
        <v>Seasonal</v>
      </c>
      <c r="F606" s="17" t="n">
        <f aca="false">INDEX(Products!$C$2:$C$9,MATCH(D606,Products!$A$2:$A$9,0))</f>
        <v>5.75</v>
      </c>
      <c r="G606" s="18" t="n">
        <v>93</v>
      </c>
      <c r="H606" s="17" t="n">
        <f aca="false">F606*G606</f>
        <v>534.75</v>
      </c>
    </row>
    <row r="607" customFormat="false" ht="15" hidden="false" customHeight="false" outlineLevel="0" collapsed="false">
      <c r="A607" s="15" t="n">
        <v>45948</v>
      </c>
      <c r="B607" s="16" t="str">
        <f aca="false">TEXT(A607,"ddd")</f>
        <v>Sat</v>
      </c>
      <c r="C607" s="16" t="str">
        <f aca="false">TEXT(A607,"mmm")</f>
        <v>Oct</v>
      </c>
      <c r="D607" s="16" t="s">
        <v>36</v>
      </c>
      <c r="E607" s="16" t="str">
        <f aca="false">INDEX(Products!$B$2:$B$9,MATCH(D607,Products!$A$2:$A$9,0))</f>
        <v>Cold Drinks</v>
      </c>
      <c r="F607" s="17" t="n">
        <f aca="false">INDEX(Products!$C$2:$C$9,MATCH(D607,Products!$A$2:$A$9,0))</f>
        <v>3.95</v>
      </c>
      <c r="G607" s="18" t="n">
        <v>48</v>
      </c>
      <c r="H607" s="17" t="n">
        <f aca="false">F607*G607</f>
        <v>189.6</v>
      </c>
    </row>
    <row r="608" customFormat="false" ht="15" hidden="false" customHeight="false" outlineLevel="0" collapsed="false">
      <c r="A608" s="15" t="n">
        <v>45948</v>
      </c>
      <c r="B608" s="16" t="str">
        <f aca="false">TEXT(A608,"ddd")</f>
        <v>Sat</v>
      </c>
      <c r="C608" s="16" t="str">
        <f aca="false">TEXT(A608,"mmm")</f>
        <v>Oct</v>
      </c>
      <c r="D608" s="16" t="s">
        <v>38</v>
      </c>
      <c r="E608" s="16" t="str">
        <f aca="false">INDEX(Products!$B$2:$B$9,MATCH(D608,Products!$A$2:$A$9,0))</f>
        <v>Cold Drinks</v>
      </c>
      <c r="F608" s="17" t="n">
        <f aca="false">INDEX(Products!$C$2:$C$9,MATCH(D608,Products!$A$2:$A$9,0))</f>
        <v>4.45</v>
      </c>
      <c r="G608" s="18" t="n">
        <v>35</v>
      </c>
      <c r="H608" s="17" t="n">
        <f aca="false">F608*G608</f>
        <v>155.75</v>
      </c>
    </row>
    <row r="609" customFormat="false" ht="15" hidden="false" customHeight="false" outlineLevel="0" collapsed="false">
      <c r="A609" s="15" t="n">
        <v>45949</v>
      </c>
      <c r="B609" s="16" t="str">
        <f aca="false">TEXT(A609,"ddd")</f>
        <v>Sun</v>
      </c>
      <c r="C609" s="16" t="str">
        <f aca="false">TEXT(A609,"mmm")</f>
        <v>Oct</v>
      </c>
      <c r="D609" s="16" t="s">
        <v>28</v>
      </c>
      <c r="E609" s="16" t="str">
        <f aca="false">INDEX(Products!$B$2:$B$9,MATCH(D609,Products!$A$2:$A$9,0))</f>
        <v>Hot Espresso</v>
      </c>
      <c r="F609" s="17" t="n">
        <f aca="false">INDEX(Products!$C$2:$C$9,MATCH(D609,Products!$A$2:$A$9,0))</f>
        <v>4.95</v>
      </c>
      <c r="G609" s="18" t="n">
        <v>80</v>
      </c>
      <c r="H609" s="17" t="n">
        <f aca="false">F609*G609</f>
        <v>396</v>
      </c>
    </row>
    <row r="610" customFormat="false" ht="15" hidden="false" customHeight="false" outlineLevel="0" collapsed="false">
      <c r="A610" s="15" t="n">
        <v>45949</v>
      </c>
      <c r="B610" s="16" t="str">
        <f aca="false">TEXT(A610,"ddd")</f>
        <v>Sun</v>
      </c>
      <c r="C610" s="16" t="str">
        <f aca="false">TEXT(A610,"mmm")</f>
        <v>Oct</v>
      </c>
      <c r="D610" s="16" t="s">
        <v>30</v>
      </c>
      <c r="E610" s="16" t="str">
        <f aca="false">INDEX(Products!$B$2:$B$9,MATCH(D610,Products!$A$2:$A$9,0))</f>
        <v>Hot Espresso</v>
      </c>
      <c r="F610" s="17" t="n">
        <f aca="false">INDEX(Products!$C$2:$C$9,MATCH(D610,Products!$A$2:$A$9,0))</f>
        <v>4.75</v>
      </c>
      <c r="G610" s="18" t="n">
        <v>55</v>
      </c>
      <c r="H610" s="17" t="n">
        <f aca="false">F610*G610</f>
        <v>261.25</v>
      </c>
    </row>
    <row r="611" customFormat="false" ht="15" hidden="false" customHeight="false" outlineLevel="0" collapsed="false">
      <c r="A611" s="15" t="n">
        <v>45949</v>
      </c>
      <c r="B611" s="16" t="str">
        <f aca="false">TEXT(A611,"ddd")</f>
        <v>Sun</v>
      </c>
      <c r="C611" s="16" t="str">
        <f aca="false">TEXT(A611,"mmm")</f>
        <v>Oct</v>
      </c>
      <c r="D611" s="16" t="s">
        <v>31</v>
      </c>
      <c r="E611" s="16" t="str">
        <f aca="false">INDEX(Products!$B$2:$B$9,MATCH(D611,Products!$A$2:$A$9,0))</f>
        <v>Hot Espresso</v>
      </c>
      <c r="F611" s="17" t="n">
        <f aca="false">INDEX(Products!$C$2:$C$9,MATCH(D611,Products!$A$2:$A$9,0))</f>
        <v>5.45</v>
      </c>
      <c r="G611" s="18" t="n">
        <v>54</v>
      </c>
      <c r="H611" s="17" t="n">
        <f aca="false">F611*G611</f>
        <v>294.3</v>
      </c>
    </row>
    <row r="612" customFormat="false" ht="15" hidden="false" customHeight="false" outlineLevel="0" collapsed="false">
      <c r="A612" s="15" t="n">
        <v>45949</v>
      </c>
      <c r="B612" s="16" t="str">
        <f aca="false">TEXT(A612,"ddd")</f>
        <v>Sun</v>
      </c>
      <c r="C612" s="16" t="str">
        <f aca="false">TEXT(A612,"mmm")</f>
        <v>Oct</v>
      </c>
      <c r="D612" s="16" t="s">
        <v>32</v>
      </c>
      <c r="E612" s="16" t="str">
        <f aca="false">INDEX(Products!$B$2:$B$9,MATCH(D612,Products!$A$2:$A$9,0))</f>
        <v>Hot Espresso</v>
      </c>
      <c r="F612" s="17" t="n">
        <f aca="false">INDEX(Products!$C$2:$C$9,MATCH(D612,Products!$A$2:$A$9,0))</f>
        <v>3.75</v>
      </c>
      <c r="G612" s="18" t="n">
        <v>32</v>
      </c>
      <c r="H612" s="17" t="n">
        <f aca="false">F612*G612</f>
        <v>120</v>
      </c>
    </row>
    <row r="613" customFormat="false" ht="15" hidden="false" customHeight="false" outlineLevel="0" collapsed="false">
      <c r="A613" s="15" t="n">
        <v>45949</v>
      </c>
      <c r="B613" s="16" t="str">
        <f aca="false">TEXT(A613,"ddd")</f>
        <v>Sun</v>
      </c>
      <c r="C613" s="16" t="str">
        <f aca="false">TEXT(A613,"mmm")</f>
        <v>Oct</v>
      </c>
      <c r="D613" s="16" t="s">
        <v>33</v>
      </c>
      <c r="E613" s="16" t="str">
        <f aca="false">INDEX(Products!$B$2:$B$9,MATCH(D613,Products!$A$2:$A$9,0))</f>
        <v>Hot Espresso</v>
      </c>
      <c r="F613" s="17" t="n">
        <f aca="false">INDEX(Products!$C$2:$C$9,MATCH(D613,Products!$A$2:$A$9,0))</f>
        <v>5.25</v>
      </c>
      <c r="G613" s="18" t="n">
        <v>39</v>
      </c>
      <c r="H613" s="17" t="n">
        <f aca="false">F613*G613</f>
        <v>204.75</v>
      </c>
    </row>
    <row r="614" customFormat="false" ht="15" hidden="false" customHeight="false" outlineLevel="0" collapsed="false">
      <c r="A614" s="15" t="n">
        <v>45949</v>
      </c>
      <c r="B614" s="16" t="str">
        <f aca="false">TEXT(A614,"ddd")</f>
        <v>Sun</v>
      </c>
      <c r="C614" s="16" t="str">
        <f aca="false">TEXT(A614,"mmm")</f>
        <v>Oct</v>
      </c>
      <c r="D614" s="16" t="s">
        <v>34</v>
      </c>
      <c r="E614" s="16" t="str">
        <f aca="false">INDEX(Products!$B$2:$B$9,MATCH(D614,Products!$A$2:$A$9,0))</f>
        <v>Seasonal</v>
      </c>
      <c r="F614" s="17" t="n">
        <f aca="false">INDEX(Products!$C$2:$C$9,MATCH(D614,Products!$A$2:$A$9,0))</f>
        <v>5.75</v>
      </c>
      <c r="G614" s="18" t="n">
        <v>84</v>
      </c>
      <c r="H614" s="17" t="n">
        <f aca="false">F614*G614</f>
        <v>483</v>
      </c>
    </row>
    <row r="615" customFormat="false" ht="15" hidden="false" customHeight="false" outlineLevel="0" collapsed="false">
      <c r="A615" s="15" t="n">
        <v>45949</v>
      </c>
      <c r="B615" s="16" t="str">
        <f aca="false">TEXT(A615,"ddd")</f>
        <v>Sun</v>
      </c>
      <c r="C615" s="16" t="str">
        <f aca="false">TEXT(A615,"mmm")</f>
        <v>Oct</v>
      </c>
      <c r="D615" s="16" t="s">
        <v>36</v>
      </c>
      <c r="E615" s="16" t="str">
        <f aca="false">INDEX(Products!$B$2:$B$9,MATCH(D615,Products!$A$2:$A$9,0))</f>
        <v>Cold Drinks</v>
      </c>
      <c r="F615" s="17" t="n">
        <f aca="false">INDEX(Products!$C$2:$C$9,MATCH(D615,Products!$A$2:$A$9,0))</f>
        <v>3.95</v>
      </c>
      <c r="G615" s="18" t="n">
        <v>47</v>
      </c>
      <c r="H615" s="17" t="n">
        <f aca="false">F615*G615</f>
        <v>185.65</v>
      </c>
    </row>
    <row r="616" customFormat="false" ht="15" hidden="false" customHeight="false" outlineLevel="0" collapsed="false">
      <c r="A616" s="15" t="n">
        <v>45949</v>
      </c>
      <c r="B616" s="16" t="str">
        <f aca="false">TEXT(A616,"ddd")</f>
        <v>Sun</v>
      </c>
      <c r="C616" s="16" t="str">
        <f aca="false">TEXT(A616,"mmm")</f>
        <v>Oct</v>
      </c>
      <c r="D616" s="16" t="s">
        <v>38</v>
      </c>
      <c r="E616" s="16" t="str">
        <f aca="false">INDEX(Products!$B$2:$B$9,MATCH(D616,Products!$A$2:$A$9,0))</f>
        <v>Cold Drinks</v>
      </c>
      <c r="F616" s="17" t="n">
        <f aca="false">INDEX(Products!$C$2:$C$9,MATCH(D616,Products!$A$2:$A$9,0))</f>
        <v>4.45</v>
      </c>
      <c r="G616" s="18" t="n">
        <v>34</v>
      </c>
      <c r="H616" s="17" t="n">
        <f aca="false">F616*G616</f>
        <v>151.3</v>
      </c>
    </row>
    <row r="617" customFormat="false" ht="15" hidden="false" customHeight="false" outlineLevel="0" collapsed="false">
      <c r="A617" s="15" t="n">
        <v>45950</v>
      </c>
      <c r="B617" s="16" t="str">
        <f aca="false">TEXT(A617,"ddd")</f>
        <v>Mon</v>
      </c>
      <c r="C617" s="16" t="str">
        <f aca="false">TEXT(A617,"mmm")</f>
        <v>Oct</v>
      </c>
      <c r="D617" s="16" t="s">
        <v>28</v>
      </c>
      <c r="E617" s="16" t="str">
        <f aca="false">INDEX(Products!$B$2:$B$9,MATCH(D617,Products!$A$2:$A$9,0))</f>
        <v>Hot Espresso</v>
      </c>
      <c r="F617" s="17" t="n">
        <f aca="false">INDEX(Products!$C$2:$C$9,MATCH(D617,Products!$A$2:$A$9,0))</f>
        <v>4.95</v>
      </c>
      <c r="G617" s="18" t="n">
        <v>71</v>
      </c>
      <c r="H617" s="17" t="n">
        <f aca="false">F617*G617</f>
        <v>351.45</v>
      </c>
    </row>
    <row r="618" customFormat="false" ht="15" hidden="false" customHeight="false" outlineLevel="0" collapsed="false">
      <c r="A618" s="15" t="n">
        <v>45950</v>
      </c>
      <c r="B618" s="16" t="str">
        <f aca="false">TEXT(A618,"ddd")</f>
        <v>Mon</v>
      </c>
      <c r="C618" s="16" t="str">
        <f aca="false">TEXT(A618,"mmm")</f>
        <v>Oct</v>
      </c>
      <c r="D618" s="16" t="s">
        <v>30</v>
      </c>
      <c r="E618" s="16" t="str">
        <f aca="false">INDEX(Products!$B$2:$B$9,MATCH(D618,Products!$A$2:$A$9,0))</f>
        <v>Hot Espresso</v>
      </c>
      <c r="F618" s="17" t="n">
        <f aca="false">INDEX(Products!$C$2:$C$9,MATCH(D618,Products!$A$2:$A$9,0))</f>
        <v>4.75</v>
      </c>
      <c r="G618" s="18" t="n">
        <v>48</v>
      </c>
      <c r="H618" s="17" t="n">
        <f aca="false">F618*G618</f>
        <v>228</v>
      </c>
    </row>
    <row r="619" customFormat="false" ht="15" hidden="false" customHeight="false" outlineLevel="0" collapsed="false">
      <c r="A619" s="15" t="n">
        <v>45950</v>
      </c>
      <c r="B619" s="16" t="str">
        <f aca="false">TEXT(A619,"ddd")</f>
        <v>Mon</v>
      </c>
      <c r="C619" s="16" t="str">
        <f aca="false">TEXT(A619,"mmm")</f>
        <v>Oct</v>
      </c>
      <c r="D619" s="16" t="s">
        <v>31</v>
      </c>
      <c r="E619" s="16" t="str">
        <f aca="false">INDEX(Products!$B$2:$B$9,MATCH(D619,Products!$A$2:$A$9,0))</f>
        <v>Hot Espresso</v>
      </c>
      <c r="F619" s="17" t="n">
        <f aca="false">INDEX(Products!$C$2:$C$9,MATCH(D619,Products!$A$2:$A$9,0))</f>
        <v>5.45</v>
      </c>
      <c r="G619" s="18" t="n">
        <v>44</v>
      </c>
      <c r="H619" s="17" t="n">
        <f aca="false">F619*G619</f>
        <v>239.8</v>
      </c>
    </row>
    <row r="620" customFormat="false" ht="15" hidden="false" customHeight="false" outlineLevel="0" collapsed="false">
      <c r="A620" s="15" t="n">
        <v>45950</v>
      </c>
      <c r="B620" s="16" t="str">
        <f aca="false">TEXT(A620,"ddd")</f>
        <v>Mon</v>
      </c>
      <c r="C620" s="16" t="str">
        <f aca="false">TEXT(A620,"mmm")</f>
        <v>Oct</v>
      </c>
      <c r="D620" s="16" t="s">
        <v>32</v>
      </c>
      <c r="E620" s="16" t="str">
        <f aca="false">INDEX(Products!$B$2:$B$9,MATCH(D620,Products!$A$2:$A$9,0))</f>
        <v>Hot Espresso</v>
      </c>
      <c r="F620" s="17" t="n">
        <f aca="false">INDEX(Products!$C$2:$C$9,MATCH(D620,Products!$A$2:$A$9,0))</f>
        <v>3.75</v>
      </c>
      <c r="G620" s="18" t="n">
        <v>29</v>
      </c>
      <c r="H620" s="17" t="n">
        <f aca="false">F620*G620</f>
        <v>108.75</v>
      </c>
    </row>
    <row r="621" customFormat="false" ht="15" hidden="false" customHeight="false" outlineLevel="0" collapsed="false">
      <c r="A621" s="15" t="n">
        <v>45950</v>
      </c>
      <c r="B621" s="16" t="str">
        <f aca="false">TEXT(A621,"ddd")</f>
        <v>Mon</v>
      </c>
      <c r="C621" s="16" t="str">
        <f aca="false">TEXT(A621,"mmm")</f>
        <v>Oct</v>
      </c>
      <c r="D621" s="16" t="s">
        <v>33</v>
      </c>
      <c r="E621" s="16" t="str">
        <f aca="false">INDEX(Products!$B$2:$B$9,MATCH(D621,Products!$A$2:$A$9,0))</f>
        <v>Hot Espresso</v>
      </c>
      <c r="F621" s="17" t="n">
        <f aca="false">INDEX(Products!$C$2:$C$9,MATCH(D621,Products!$A$2:$A$9,0))</f>
        <v>5.25</v>
      </c>
      <c r="G621" s="18" t="n">
        <v>36</v>
      </c>
      <c r="H621" s="17" t="n">
        <f aca="false">F621*G621</f>
        <v>189</v>
      </c>
    </row>
    <row r="622" customFormat="false" ht="15" hidden="false" customHeight="false" outlineLevel="0" collapsed="false">
      <c r="A622" s="15" t="n">
        <v>45950</v>
      </c>
      <c r="B622" s="16" t="str">
        <f aca="false">TEXT(A622,"ddd")</f>
        <v>Mon</v>
      </c>
      <c r="C622" s="16" t="str">
        <f aca="false">TEXT(A622,"mmm")</f>
        <v>Oct</v>
      </c>
      <c r="D622" s="16" t="s">
        <v>34</v>
      </c>
      <c r="E622" s="16" t="str">
        <f aca="false">INDEX(Products!$B$2:$B$9,MATCH(D622,Products!$A$2:$A$9,0))</f>
        <v>Seasonal</v>
      </c>
      <c r="F622" s="17" t="n">
        <f aca="false">INDEX(Products!$C$2:$C$9,MATCH(D622,Products!$A$2:$A$9,0))</f>
        <v>5.75</v>
      </c>
      <c r="G622" s="18" t="n">
        <v>83</v>
      </c>
      <c r="H622" s="17" t="n">
        <f aca="false">F622*G622</f>
        <v>477.25</v>
      </c>
    </row>
    <row r="623" customFormat="false" ht="15" hidden="false" customHeight="false" outlineLevel="0" collapsed="false">
      <c r="A623" s="15" t="n">
        <v>45950</v>
      </c>
      <c r="B623" s="16" t="str">
        <f aca="false">TEXT(A623,"ddd")</f>
        <v>Mon</v>
      </c>
      <c r="C623" s="16" t="str">
        <f aca="false">TEXT(A623,"mmm")</f>
        <v>Oct</v>
      </c>
      <c r="D623" s="16" t="s">
        <v>36</v>
      </c>
      <c r="E623" s="16" t="str">
        <f aca="false">INDEX(Products!$B$2:$B$9,MATCH(D623,Products!$A$2:$A$9,0))</f>
        <v>Cold Drinks</v>
      </c>
      <c r="F623" s="17" t="n">
        <f aca="false">INDEX(Products!$C$2:$C$9,MATCH(D623,Products!$A$2:$A$9,0))</f>
        <v>3.95</v>
      </c>
      <c r="G623" s="18" t="n">
        <v>46</v>
      </c>
      <c r="H623" s="17" t="n">
        <f aca="false">F623*G623</f>
        <v>181.7</v>
      </c>
    </row>
    <row r="624" customFormat="false" ht="15" hidden="false" customHeight="false" outlineLevel="0" collapsed="false">
      <c r="A624" s="15" t="n">
        <v>45950</v>
      </c>
      <c r="B624" s="16" t="str">
        <f aca="false">TEXT(A624,"ddd")</f>
        <v>Mon</v>
      </c>
      <c r="C624" s="16" t="str">
        <f aca="false">TEXT(A624,"mmm")</f>
        <v>Oct</v>
      </c>
      <c r="D624" s="16" t="s">
        <v>38</v>
      </c>
      <c r="E624" s="16" t="str">
        <f aca="false">INDEX(Products!$B$2:$B$9,MATCH(D624,Products!$A$2:$A$9,0))</f>
        <v>Cold Drinks</v>
      </c>
      <c r="F624" s="17" t="n">
        <f aca="false">INDEX(Products!$C$2:$C$9,MATCH(D624,Products!$A$2:$A$9,0))</f>
        <v>4.45</v>
      </c>
      <c r="G624" s="18" t="n">
        <v>34</v>
      </c>
      <c r="H624" s="17" t="n">
        <f aca="false">F624*G624</f>
        <v>151.3</v>
      </c>
    </row>
    <row r="625" customFormat="false" ht="15" hidden="false" customHeight="false" outlineLevel="0" collapsed="false">
      <c r="A625" s="15" t="n">
        <v>45951</v>
      </c>
      <c r="B625" s="16" t="str">
        <f aca="false">TEXT(A625,"ddd")</f>
        <v>Tue</v>
      </c>
      <c r="C625" s="16" t="str">
        <f aca="false">TEXT(A625,"mmm")</f>
        <v>Oct</v>
      </c>
      <c r="D625" s="16" t="s">
        <v>28</v>
      </c>
      <c r="E625" s="16" t="str">
        <f aca="false">INDEX(Products!$B$2:$B$9,MATCH(D625,Products!$A$2:$A$9,0))</f>
        <v>Hot Espresso</v>
      </c>
      <c r="F625" s="17" t="n">
        <f aca="false">INDEX(Products!$C$2:$C$9,MATCH(D625,Products!$A$2:$A$9,0))</f>
        <v>4.95</v>
      </c>
      <c r="G625" s="18" t="n">
        <v>75</v>
      </c>
      <c r="H625" s="17" t="n">
        <f aca="false">F625*G625</f>
        <v>371.25</v>
      </c>
    </row>
    <row r="626" customFormat="false" ht="15" hidden="false" customHeight="false" outlineLevel="0" collapsed="false">
      <c r="A626" s="15" t="n">
        <v>45951</v>
      </c>
      <c r="B626" s="16" t="str">
        <f aca="false">TEXT(A626,"ddd")</f>
        <v>Tue</v>
      </c>
      <c r="C626" s="16" t="str">
        <f aca="false">TEXT(A626,"mmm")</f>
        <v>Oct</v>
      </c>
      <c r="D626" s="16" t="s">
        <v>30</v>
      </c>
      <c r="E626" s="16" t="str">
        <f aca="false">INDEX(Products!$B$2:$B$9,MATCH(D626,Products!$A$2:$A$9,0))</f>
        <v>Hot Espresso</v>
      </c>
      <c r="F626" s="17" t="n">
        <f aca="false">INDEX(Products!$C$2:$C$9,MATCH(D626,Products!$A$2:$A$9,0))</f>
        <v>4.75</v>
      </c>
      <c r="G626" s="18" t="n">
        <v>42</v>
      </c>
      <c r="H626" s="17" t="n">
        <f aca="false">F626*G626</f>
        <v>199.5</v>
      </c>
    </row>
    <row r="627" customFormat="false" ht="15" hidden="false" customHeight="false" outlineLevel="0" collapsed="false">
      <c r="A627" s="15" t="n">
        <v>45951</v>
      </c>
      <c r="B627" s="16" t="str">
        <f aca="false">TEXT(A627,"ddd")</f>
        <v>Tue</v>
      </c>
      <c r="C627" s="16" t="str">
        <f aca="false">TEXT(A627,"mmm")</f>
        <v>Oct</v>
      </c>
      <c r="D627" s="16" t="s">
        <v>31</v>
      </c>
      <c r="E627" s="16" t="str">
        <f aca="false">INDEX(Products!$B$2:$B$9,MATCH(D627,Products!$A$2:$A$9,0))</f>
        <v>Hot Espresso</v>
      </c>
      <c r="F627" s="17" t="n">
        <f aca="false">INDEX(Products!$C$2:$C$9,MATCH(D627,Products!$A$2:$A$9,0))</f>
        <v>5.45</v>
      </c>
      <c r="G627" s="18" t="n">
        <v>46</v>
      </c>
      <c r="H627" s="17" t="n">
        <f aca="false">F627*G627</f>
        <v>250.7</v>
      </c>
    </row>
    <row r="628" customFormat="false" ht="15" hidden="false" customHeight="false" outlineLevel="0" collapsed="false">
      <c r="A628" s="15" t="n">
        <v>45951</v>
      </c>
      <c r="B628" s="16" t="str">
        <f aca="false">TEXT(A628,"ddd")</f>
        <v>Tue</v>
      </c>
      <c r="C628" s="16" t="str">
        <f aca="false">TEXT(A628,"mmm")</f>
        <v>Oct</v>
      </c>
      <c r="D628" s="16" t="s">
        <v>32</v>
      </c>
      <c r="E628" s="16" t="str">
        <f aca="false">INDEX(Products!$B$2:$B$9,MATCH(D628,Products!$A$2:$A$9,0))</f>
        <v>Hot Espresso</v>
      </c>
      <c r="F628" s="17" t="n">
        <f aca="false">INDEX(Products!$C$2:$C$9,MATCH(D628,Products!$A$2:$A$9,0))</f>
        <v>3.75</v>
      </c>
      <c r="G628" s="18" t="n">
        <v>31</v>
      </c>
      <c r="H628" s="17" t="n">
        <f aca="false">F628*G628</f>
        <v>116.25</v>
      </c>
    </row>
    <row r="629" customFormat="false" ht="15" hidden="false" customHeight="false" outlineLevel="0" collapsed="false">
      <c r="A629" s="15" t="n">
        <v>45951</v>
      </c>
      <c r="B629" s="16" t="str">
        <f aca="false">TEXT(A629,"ddd")</f>
        <v>Tue</v>
      </c>
      <c r="C629" s="16" t="str">
        <f aca="false">TEXT(A629,"mmm")</f>
        <v>Oct</v>
      </c>
      <c r="D629" s="16" t="s">
        <v>33</v>
      </c>
      <c r="E629" s="16" t="str">
        <f aca="false">INDEX(Products!$B$2:$B$9,MATCH(D629,Products!$A$2:$A$9,0))</f>
        <v>Hot Espresso</v>
      </c>
      <c r="F629" s="17" t="n">
        <f aca="false">INDEX(Products!$C$2:$C$9,MATCH(D629,Products!$A$2:$A$9,0))</f>
        <v>5.25</v>
      </c>
      <c r="G629" s="18" t="n">
        <v>40</v>
      </c>
      <c r="H629" s="17" t="n">
        <f aca="false">F629*G629</f>
        <v>210</v>
      </c>
    </row>
    <row r="630" customFormat="false" ht="15" hidden="false" customHeight="false" outlineLevel="0" collapsed="false">
      <c r="A630" s="15" t="n">
        <v>45951</v>
      </c>
      <c r="B630" s="16" t="str">
        <f aca="false">TEXT(A630,"ddd")</f>
        <v>Tue</v>
      </c>
      <c r="C630" s="16" t="str">
        <f aca="false">TEXT(A630,"mmm")</f>
        <v>Oct</v>
      </c>
      <c r="D630" s="16" t="s">
        <v>34</v>
      </c>
      <c r="E630" s="16" t="str">
        <f aca="false">INDEX(Products!$B$2:$B$9,MATCH(D630,Products!$A$2:$A$9,0))</f>
        <v>Seasonal</v>
      </c>
      <c r="F630" s="17" t="n">
        <f aca="false">INDEX(Products!$C$2:$C$9,MATCH(D630,Products!$A$2:$A$9,0))</f>
        <v>5.75</v>
      </c>
      <c r="G630" s="18" t="n">
        <v>73</v>
      </c>
      <c r="H630" s="17" t="n">
        <f aca="false">F630*G630</f>
        <v>419.75</v>
      </c>
    </row>
    <row r="631" customFormat="false" ht="15" hidden="false" customHeight="false" outlineLevel="0" collapsed="false">
      <c r="A631" s="15" t="n">
        <v>45951</v>
      </c>
      <c r="B631" s="16" t="str">
        <f aca="false">TEXT(A631,"ddd")</f>
        <v>Tue</v>
      </c>
      <c r="C631" s="16" t="str">
        <f aca="false">TEXT(A631,"mmm")</f>
        <v>Oct</v>
      </c>
      <c r="D631" s="16" t="s">
        <v>36</v>
      </c>
      <c r="E631" s="16" t="str">
        <f aca="false">INDEX(Products!$B$2:$B$9,MATCH(D631,Products!$A$2:$A$9,0))</f>
        <v>Cold Drinks</v>
      </c>
      <c r="F631" s="17" t="n">
        <f aca="false">INDEX(Products!$C$2:$C$9,MATCH(D631,Products!$A$2:$A$9,0))</f>
        <v>3.95</v>
      </c>
      <c r="G631" s="18" t="n">
        <v>45</v>
      </c>
      <c r="H631" s="17" t="n">
        <f aca="false">F631*G631</f>
        <v>177.75</v>
      </c>
    </row>
    <row r="632" customFormat="false" ht="15" hidden="false" customHeight="false" outlineLevel="0" collapsed="false">
      <c r="A632" s="15" t="n">
        <v>45951</v>
      </c>
      <c r="B632" s="16" t="str">
        <f aca="false">TEXT(A632,"ddd")</f>
        <v>Tue</v>
      </c>
      <c r="C632" s="16" t="str">
        <f aca="false">TEXT(A632,"mmm")</f>
        <v>Oct</v>
      </c>
      <c r="D632" s="16" t="s">
        <v>38</v>
      </c>
      <c r="E632" s="16" t="str">
        <f aca="false">INDEX(Products!$B$2:$B$9,MATCH(D632,Products!$A$2:$A$9,0))</f>
        <v>Cold Drinks</v>
      </c>
      <c r="F632" s="17" t="n">
        <f aca="false">INDEX(Products!$C$2:$C$9,MATCH(D632,Products!$A$2:$A$9,0))</f>
        <v>4.45</v>
      </c>
      <c r="G632" s="18" t="n">
        <v>37</v>
      </c>
      <c r="H632" s="17" t="n">
        <f aca="false">F632*G632</f>
        <v>164.65</v>
      </c>
    </row>
    <row r="633" customFormat="false" ht="15" hidden="false" customHeight="false" outlineLevel="0" collapsed="false">
      <c r="A633" s="15" t="n">
        <v>45952</v>
      </c>
      <c r="B633" s="16" t="str">
        <f aca="false">TEXT(A633,"ddd")</f>
        <v>Wed</v>
      </c>
      <c r="C633" s="16" t="str">
        <f aca="false">TEXT(A633,"mmm")</f>
        <v>Oct</v>
      </c>
      <c r="D633" s="16" t="s">
        <v>28</v>
      </c>
      <c r="E633" s="16" t="str">
        <f aca="false">INDEX(Products!$B$2:$B$9,MATCH(D633,Products!$A$2:$A$9,0))</f>
        <v>Hot Espresso</v>
      </c>
      <c r="F633" s="17" t="n">
        <f aca="false">INDEX(Products!$C$2:$C$9,MATCH(D633,Products!$A$2:$A$9,0))</f>
        <v>4.95</v>
      </c>
      <c r="G633" s="18" t="n">
        <v>72</v>
      </c>
      <c r="H633" s="17" t="n">
        <f aca="false">F633*G633</f>
        <v>356.4</v>
      </c>
    </row>
    <row r="634" customFormat="false" ht="15" hidden="false" customHeight="false" outlineLevel="0" collapsed="false">
      <c r="A634" s="15" t="n">
        <v>45952</v>
      </c>
      <c r="B634" s="16" t="str">
        <f aca="false">TEXT(A634,"ddd")</f>
        <v>Wed</v>
      </c>
      <c r="C634" s="16" t="str">
        <f aca="false">TEXT(A634,"mmm")</f>
        <v>Oct</v>
      </c>
      <c r="D634" s="16" t="s">
        <v>30</v>
      </c>
      <c r="E634" s="16" t="str">
        <f aca="false">INDEX(Products!$B$2:$B$9,MATCH(D634,Products!$A$2:$A$9,0))</f>
        <v>Hot Espresso</v>
      </c>
      <c r="F634" s="17" t="n">
        <f aca="false">INDEX(Products!$C$2:$C$9,MATCH(D634,Products!$A$2:$A$9,0))</f>
        <v>4.75</v>
      </c>
      <c r="G634" s="18" t="n">
        <v>48</v>
      </c>
      <c r="H634" s="17" t="n">
        <f aca="false">F634*G634</f>
        <v>228</v>
      </c>
    </row>
    <row r="635" customFormat="false" ht="15" hidden="false" customHeight="false" outlineLevel="0" collapsed="false">
      <c r="A635" s="15" t="n">
        <v>45952</v>
      </c>
      <c r="B635" s="16" t="str">
        <f aca="false">TEXT(A635,"ddd")</f>
        <v>Wed</v>
      </c>
      <c r="C635" s="16" t="str">
        <f aca="false">TEXT(A635,"mmm")</f>
        <v>Oct</v>
      </c>
      <c r="D635" s="16" t="s">
        <v>31</v>
      </c>
      <c r="E635" s="16" t="str">
        <f aca="false">INDEX(Products!$B$2:$B$9,MATCH(D635,Products!$A$2:$A$9,0))</f>
        <v>Hot Espresso</v>
      </c>
      <c r="F635" s="17" t="n">
        <f aca="false">INDEX(Products!$C$2:$C$9,MATCH(D635,Products!$A$2:$A$9,0))</f>
        <v>5.45</v>
      </c>
      <c r="G635" s="18" t="n">
        <v>50</v>
      </c>
      <c r="H635" s="17" t="n">
        <f aca="false">F635*G635</f>
        <v>272.5</v>
      </c>
    </row>
    <row r="636" customFormat="false" ht="15" hidden="false" customHeight="false" outlineLevel="0" collapsed="false">
      <c r="A636" s="15" t="n">
        <v>45952</v>
      </c>
      <c r="B636" s="16" t="str">
        <f aca="false">TEXT(A636,"ddd")</f>
        <v>Wed</v>
      </c>
      <c r="C636" s="16" t="str">
        <f aca="false">TEXT(A636,"mmm")</f>
        <v>Oct</v>
      </c>
      <c r="D636" s="16" t="s">
        <v>32</v>
      </c>
      <c r="E636" s="16" t="str">
        <f aca="false">INDEX(Products!$B$2:$B$9,MATCH(D636,Products!$A$2:$A$9,0))</f>
        <v>Hot Espresso</v>
      </c>
      <c r="F636" s="17" t="n">
        <f aca="false">INDEX(Products!$C$2:$C$9,MATCH(D636,Products!$A$2:$A$9,0))</f>
        <v>3.75</v>
      </c>
      <c r="G636" s="18" t="n">
        <v>31</v>
      </c>
      <c r="H636" s="17" t="n">
        <f aca="false">F636*G636</f>
        <v>116.25</v>
      </c>
    </row>
    <row r="637" customFormat="false" ht="15" hidden="false" customHeight="false" outlineLevel="0" collapsed="false">
      <c r="A637" s="15" t="n">
        <v>45952</v>
      </c>
      <c r="B637" s="16" t="str">
        <f aca="false">TEXT(A637,"ddd")</f>
        <v>Wed</v>
      </c>
      <c r="C637" s="16" t="str">
        <f aca="false">TEXT(A637,"mmm")</f>
        <v>Oct</v>
      </c>
      <c r="D637" s="16" t="s">
        <v>33</v>
      </c>
      <c r="E637" s="16" t="str">
        <f aca="false">INDEX(Products!$B$2:$B$9,MATCH(D637,Products!$A$2:$A$9,0))</f>
        <v>Hot Espresso</v>
      </c>
      <c r="F637" s="17" t="n">
        <f aca="false">INDEX(Products!$C$2:$C$9,MATCH(D637,Products!$A$2:$A$9,0))</f>
        <v>5.25</v>
      </c>
      <c r="G637" s="18" t="n">
        <v>41</v>
      </c>
      <c r="H637" s="17" t="n">
        <f aca="false">F637*G637</f>
        <v>215.25</v>
      </c>
    </row>
    <row r="638" customFormat="false" ht="15" hidden="false" customHeight="false" outlineLevel="0" collapsed="false">
      <c r="A638" s="15" t="n">
        <v>45952</v>
      </c>
      <c r="B638" s="16" t="str">
        <f aca="false">TEXT(A638,"ddd")</f>
        <v>Wed</v>
      </c>
      <c r="C638" s="16" t="str">
        <f aca="false">TEXT(A638,"mmm")</f>
        <v>Oct</v>
      </c>
      <c r="D638" s="16" t="s">
        <v>34</v>
      </c>
      <c r="E638" s="16" t="str">
        <f aca="false">INDEX(Products!$B$2:$B$9,MATCH(D638,Products!$A$2:$A$9,0))</f>
        <v>Seasonal</v>
      </c>
      <c r="F638" s="17" t="n">
        <f aca="false">INDEX(Products!$C$2:$C$9,MATCH(D638,Products!$A$2:$A$9,0))</f>
        <v>5.75</v>
      </c>
      <c r="G638" s="18" t="n">
        <v>84</v>
      </c>
      <c r="H638" s="17" t="n">
        <f aca="false">F638*G638</f>
        <v>483</v>
      </c>
    </row>
    <row r="639" customFormat="false" ht="15" hidden="false" customHeight="false" outlineLevel="0" collapsed="false">
      <c r="A639" s="15" t="n">
        <v>45952</v>
      </c>
      <c r="B639" s="16" t="str">
        <f aca="false">TEXT(A639,"ddd")</f>
        <v>Wed</v>
      </c>
      <c r="C639" s="16" t="str">
        <f aca="false">TEXT(A639,"mmm")</f>
        <v>Oct</v>
      </c>
      <c r="D639" s="16" t="s">
        <v>36</v>
      </c>
      <c r="E639" s="16" t="str">
        <f aca="false">INDEX(Products!$B$2:$B$9,MATCH(D639,Products!$A$2:$A$9,0))</f>
        <v>Cold Drinks</v>
      </c>
      <c r="F639" s="17" t="n">
        <f aca="false">INDEX(Products!$C$2:$C$9,MATCH(D639,Products!$A$2:$A$9,0))</f>
        <v>3.95</v>
      </c>
      <c r="G639" s="18" t="n">
        <v>44</v>
      </c>
      <c r="H639" s="17" t="n">
        <f aca="false">F639*G639</f>
        <v>173.8</v>
      </c>
    </row>
    <row r="640" customFormat="false" ht="15" hidden="false" customHeight="false" outlineLevel="0" collapsed="false">
      <c r="A640" s="15" t="n">
        <v>45952</v>
      </c>
      <c r="B640" s="16" t="str">
        <f aca="false">TEXT(A640,"ddd")</f>
        <v>Wed</v>
      </c>
      <c r="C640" s="16" t="str">
        <f aca="false">TEXT(A640,"mmm")</f>
        <v>Oct</v>
      </c>
      <c r="D640" s="16" t="s">
        <v>38</v>
      </c>
      <c r="E640" s="16" t="str">
        <f aca="false">INDEX(Products!$B$2:$B$9,MATCH(D640,Products!$A$2:$A$9,0))</f>
        <v>Cold Drinks</v>
      </c>
      <c r="F640" s="17" t="n">
        <f aca="false">INDEX(Products!$C$2:$C$9,MATCH(D640,Products!$A$2:$A$9,0))</f>
        <v>4.45</v>
      </c>
      <c r="G640" s="18" t="n">
        <v>31</v>
      </c>
      <c r="H640" s="17" t="n">
        <f aca="false">F640*G640</f>
        <v>137.95</v>
      </c>
    </row>
    <row r="641" customFormat="false" ht="15" hidden="false" customHeight="false" outlineLevel="0" collapsed="false">
      <c r="A641" s="15" t="n">
        <v>45953</v>
      </c>
      <c r="B641" s="16" t="str">
        <f aca="false">TEXT(A641,"ddd")</f>
        <v>Thu</v>
      </c>
      <c r="C641" s="16" t="str">
        <f aca="false">TEXT(A641,"mmm")</f>
        <v>Oct</v>
      </c>
      <c r="D641" s="16" t="s">
        <v>28</v>
      </c>
      <c r="E641" s="16" t="str">
        <f aca="false">INDEX(Products!$B$2:$B$9,MATCH(D641,Products!$A$2:$A$9,0))</f>
        <v>Hot Espresso</v>
      </c>
      <c r="F641" s="17" t="n">
        <f aca="false">INDEX(Products!$C$2:$C$9,MATCH(D641,Products!$A$2:$A$9,0))</f>
        <v>4.95</v>
      </c>
      <c r="G641" s="18" t="n">
        <v>72</v>
      </c>
      <c r="H641" s="17" t="n">
        <f aca="false">F641*G641</f>
        <v>356.4</v>
      </c>
    </row>
    <row r="642" customFormat="false" ht="15" hidden="false" customHeight="false" outlineLevel="0" collapsed="false">
      <c r="A642" s="15" t="n">
        <v>45953</v>
      </c>
      <c r="B642" s="16" t="str">
        <f aca="false">TEXT(A642,"ddd")</f>
        <v>Thu</v>
      </c>
      <c r="C642" s="16" t="str">
        <f aca="false">TEXT(A642,"mmm")</f>
        <v>Oct</v>
      </c>
      <c r="D642" s="16" t="s">
        <v>30</v>
      </c>
      <c r="E642" s="16" t="str">
        <f aca="false">INDEX(Products!$B$2:$B$9,MATCH(D642,Products!$A$2:$A$9,0))</f>
        <v>Hot Espresso</v>
      </c>
      <c r="F642" s="17" t="n">
        <f aca="false">INDEX(Products!$C$2:$C$9,MATCH(D642,Products!$A$2:$A$9,0))</f>
        <v>4.75</v>
      </c>
      <c r="G642" s="18" t="n">
        <v>53</v>
      </c>
      <c r="H642" s="17" t="n">
        <f aca="false">F642*G642</f>
        <v>251.75</v>
      </c>
    </row>
    <row r="643" customFormat="false" ht="15" hidden="false" customHeight="false" outlineLevel="0" collapsed="false">
      <c r="A643" s="15" t="n">
        <v>45953</v>
      </c>
      <c r="B643" s="16" t="str">
        <f aca="false">TEXT(A643,"ddd")</f>
        <v>Thu</v>
      </c>
      <c r="C643" s="16" t="str">
        <f aca="false">TEXT(A643,"mmm")</f>
        <v>Oct</v>
      </c>
      <c r="D643" s="16" t="s">
        <v>31</v>
      </c>
      <c r="E643" s="16" t="str">
        <f aca="false">INDEX(Products!$B$2:$B$9,MATCH(D643,Products!$A$2:$A$9,0))</f>
        <v>Hot Espresso</v>
      </c>
      <c r="F643" s="17" t="n">
        <f aca="false">INDEX(Products!$C$2:$C$9,MATCH(D643,Products!$A$2:$A$9,0))</f>
        <v>5.45</v>
      </c>
      <c r="G643" s="18" t="n">
        <v>47</v>
      </c>
      <c r="H643" s="17" t="n">
        <f aca="false">F643*G643</f>
        <v>256.15</v>
      </c>
    </row>
    <row r="644" customFormat="false" ht="15" hidden="false" customHeight="false" outlineLevel="0" collapsed="false">
      <c r="A644" s="15" t="n">
        <v>45953</v>
      </c>
      <c r="B644" s="16" t="str">
        <f aca="false">TEXT(A644,"ddd")</f>
        <v>Thu</v>
      </c>
      <c r="C644" s="16" t="str">
        <f aca="false">TEXT(A644,"mmm")</f>
        <v>Oct</v>
      </c>
      <c r="D644" s="16" t="s">
        <v>32</v>
      </c>
      <c r="E644" s="16" t="str">
        <f aca="false">INDEX(Products!$B$2:$B$9,MATCH(D644,Products!$A$2:$A$9,0))</f>
        <v>Hot Espresso</v>
      </c>
      <c r="F644" s="17" t="n">
        <f aca="false">INDEX(Products!$C$2:$C$9,MATCH(D644,Products!$A$2:$A$9,0))</f>
        <v>3.75</v>
      </c>
      <c r="G644" s="18" t="n">
        <v>30</v>
      </c>
      <c r="H644" s="17" t="n">
        <f aca="false">F644*G644</f>
        <v>112.5</v>
      </c>
    </row>
    <row r="645" customFormat="false" ht="15" hidden="false" customHeight="false" outlineLevel="0" collapsed="false">
      <c r="A645" s="15" t="n">
        <v>45953</v>
      </c>
      <c r="B645" s="16" t="str">
        <f aca="false">TEXT(A645,"ddd")</f>
        <v>Thu</v>
      </c>
      <c r="C645" s="16" t="str">
        <f aca="false">TEXT(A645,"mmm")</f>
        <v>Oct</v>
      </c>
      <c r="D645" s="16" t="s">
        <v>33</v>
      </c>
      <c r="E645" s="16" t="str">
        <f aca="false">INDEX(Products!$B$2:$B$9,MATCH(D645,Products!$A$2:$A$9,0))</f>
        <v>Hot Espresso</v>
      </c>
      <c r="F645" s="17" t="n">
        <f aca="false">INDEX(Products!$C$2:$C$9,MATCH(D645,Products!$A$2:$A$9,0))</f>
        <v>5.25</v>
      </c>
      <c r="G645" s="18" t="n">
        <v>37</v>
      </c>
      <c r="H645" s="17" t="n">
        <f aca="false">F645*G645</f>
        <v>194.25</v>
      </c>
    </row>
    <row r="646" customFormat="false" ht="15" hidden="false" customHeight="false" outlineLevel="0" collapsed="false">
      <c r="A646" s="15" t="n">
        <v>45953</v>
      </c>
      <c r="B646" s="16" t="str">
        <f aca="false">TEXT(A646,"ddd")</f>
        <v>Thu</v>
      </c>
      <c r="C646" s="16" t="str">
        <f aca="false">TEXT(A646,"mmm")</f>
        <v>Oct</v>
      </c>
      <c r="D646" s="16" t="s">
        <v>34</v>
      </c>
      <c r="E646" s="16" t="str">
        <f aca="false">INDEX(Products!$B$2:$B$9,MATCH(D646,Products!$A$2:$A$9,0))</f>
        <v>Seasonal</v>
      </c>
      <c r="F646" s="17" t="n">
        <f aca="false">INDEX(Products!$C$2:$C$9,MATCH(D646,Products!$A$2:$A$9,0))</f>
        <v>5.75</v>
      </c>
      <c r="G646" s="18" t="n">
        <v>89</v>
      </c>
      <c r="H646" s="17" t="n">
        <f aca="false">F646*G646</f>
        <v>511.75</v>
      </c>
    </row>
    <row r="647" customFormat="false" ht="15" hidden="false" customHeight="false" outlineLevel="0" collapsed="false">
      <c r="A647" s="15" t="n">
        <v>45953</v>
      </c>
      <c r="B647" s="16" t="str">
        <f aca="false">TEXT(A647,"ddd")</f>
        <v>Thu</v>
      </c>
      <c r="C647" s="16" t="str">
        <f aca="false">TEXT(A647,"mmm")</f>
        <v>Oct</v>
      </c>
      <c r="D647" s="16" t="s">
        <v>36</v>
      </c>
      <c r="E647" s="16" t="str">
        <f aca="false">INDEX(Products!$B$2:$B$9,MATCH(D647,Products!$A$2:$A$9,0))</f>
        <v>Cold Drinks</v>
      </c>
      <c r="F647" s="17" t="n">
        <f aca="false">INDEX(Products!$C$2:$C$9,MATCH(D647,Products!$A$2:$A$9,0))</f>
        <v>3.95</v>
      </c>
      <c r="G647" s="18" t="n">
        <v>40</v>
      </c>
      <c r="H647" s="17" t="n">
        <f aca="false">F647*G647</f>
        <v>158</v>
      </c>
    </row>
    <row r="648" customFormat="false" ht="15" hidden="false" customHeight="false" outlineLevel="0" collapsed="false">
      <c r="A648" s="15" t="n">
        <v>45953</v>
      </c>
      <c r="B648" s="16" t="str">
        <f aca="false">TEXT(A648,"ddd")</f>
        <v>Thu</v>
      </c>
      <c r="C648" s="16" t="str">
        <f aca="false">TEXT(A648,"mmm")</f>
        <v>Oct</v>
      </c>
      <c r="D648" s="16" t="s">
        <v>38</v>
      </c>
      <c r="E648" s="16" t="str">
        <f aca="false">INDEX(Products!$B$2:$B$9,MATCH(D648,Products!$A$2:$A$9,0))</f>
        <v>Cold Drinks</v>
      </c>
      <c r="F648" s="17" t="n">
        <f aca="false">INDEX(Products!$C$2:$C$9,MATCH(D648,Products!$A$2:$A$9,0))</f>
        <v>4.45</v>
      </c>
      <c r="G648" s="18" t="n">
        <v>35</v>
      </c>
      <c r="H648" s="17" t="n">
        <f aca="false">F648*G648</f>
        <v>155.75</v>
      </c>
    </row>
    <row r="649" customFormat="false" ht="15" hidden="false" customHeight="false" outlineLevel="0" collapsed="false">
      <c r="A649" s="15" t="n">
        <v>45954</v>
      </c>
      <c r="B649" s="16" t="str">
        <f aca="false">TEXT(A649,"ddd")</f>
        <v>Fri</v>
      </c>
      <c r="C649" s="16" t="str">
        <f aca="false">TEXT(A649,"mmm")</f>
        <v>Oct</v>
      </c>
      <c r="D649" s="16" t="s">
        <v>28</v>
      </c>
      <c r="E649" s="16" t="str">
        <f aca="false">INDEX(Products!$B$2:$B$9,MATCH(D649,Products!$A$2:$A$9,0))</f>
        <v>Hot Espresso</v>
      </c>
      <c r="F649" s="17" t="n">
        <f aca="false">INDEX(Products!$C$2:$C$9,MATCH(D649,Products!$A$2:$A$9,0))</f>
        <v>4.95</v>
      </c>
      <c r="G649" s="18" t="n">
        <v>67</v>
      </c>
      <c r="H649" s="17" t="n">
        <f aca="false">F649*G649</f>
        <v>331.65</v>
      </c>
    </row>
    <row r="650" customFormat="false" ht="15" hidden="false" customHeight="false" outlineLevel="0" collapsed="false">
      <c r="A650" s="15" t="n">
        <v>45954</v>
      </c>
      <c r="B650" s="16" t="str">
        <f aca="false">TEXT(A650,"ddd")</f>
        <v>Fri</v>
      </c>
      <c r="C650" s="16" t="str">
        <f aca="false">TEXT(A650,"mmm")</f>
        <v>Oct</v>
      </c>
      <c r="D650" s="16" t="s">
        <v>30</v>
      </c>
      <c r="E650" s="16" t="str">
        <f aca="false">INDEX(Products!$B$2:$B$9,MATCH(D650,Products!$A$2:$A$9,0))</f>
        <v>Hot Espresso</v>
      </c>
      <c r="F650" s="17" t="n">
        <f aca="false">INDEX(Products!$C$2:$C$9,MATCH(D650,Products!$A$2:$A$9,0))</f>
        <v>4.75</v>
      </c>
      <c r="G650" s="18" t="n">
        <v>44</v>
      </c>
      <c r="H650" s="17" t="n">
        <f aca="false">F650*G650</f>
        <v>209</v>
      </c>
    </row>
    <row r="651" customFormat="false" ht="15" hidden="false" customHeight="false" outlineLevel="0" collapsed="false">
      <c r="A651" s="15" t="n">
        <v>45954</v>
      </c>
      <c r="B651" s="16" t="str">
        <f aca="false">TEXT(A651,"ddd")</f>
        <v>Fri</v>
      </c>
      <c r="C651" s="16" t="str">
        <f aca="false">TEXT(A651,"mmm")</f>
        <v>Oct</v>
      </c>
      <c r="D651" s="16" t="s">
        <v>31</v>
      </c>
      <c r="E651" s="16" t="str">
        <f aca="false">INDEX(Products!$B$2:$B$9,MATCH(D651,Products!$A$2:$A$9,0))</f>
        <v>Hot Espresso</v>
      </c>
      <c r="F651" s="17" t="n">
        <f aca="false">INDEX(Products!$C$2:$C$9,MATCH(D651,Products!$A$2:$A$9,0))</f>
        <v>5.45</v>
      </c>
      <c r="G651" s="18" t="n">
        <v>49</v>
      </c>
      <c r="H651" s="17" t="n">
        <f aca="false">F651*G651</f>
        <v>267.05</v>
      </c>
    </row>
    <row r="652" customFormat="false" ht="15" hidden="false" customHeight="false" outlineLevel="0" collapsed="false">
      <c r="A652" s="15" t="n">
        <v>45954</v>
      </c>
      <c r="B652" s="16" t="str">
        <f aca="false">TEXT(A652,"ddd")</f>
        <v>Fri</v>
      </c>
      <c r="C652" s="16" t="str">
        <f aca="false">TEXT(A652,"mmm")</f>
        <v>Oct</v>
      </c>
      <c r="D652" s="16" t="s">
        <v>32</v>
      </c>
      <c r="E652" s="16" t="str">
        <f aca="false">INDEX(Products!$B$2:$B$9,MATCH(D652,Products!$A$2:$A$9,0))</f>
        <v>Hot Espresso</v>
      </c>
      <c r="F652" s="17" t="n">
        <f aca="false">INDEX(Products!$C$2:$C$9,MATCH(D652,Products!$A$2:$A$9,0))</f>
        <v>3.75</v>
      </c>
      <c r="G652" s="18" t="n">
        <v>30</v>
      </c>
      <c r="H652" s="17" t="n">
        <f aca="false">F652*G652</f>
        <v>112.5</v>
      </c>
    </row>
    <row r="653" customFormat="false" ht="15" hidden="false" customHeight="false" outlineLevel="0" collapsed="false">
      <c r="A653" s="15" t="n">
        <v>45954</v>
      </c>
      <c r="B653" s="16" t="str">
        <f aca="false">TEXT(A653,"ddd")</f>
        <v>Fri</v>
      </c>
      <c r="C653" s="16" t="str">
        <f aca="false">TEXT(A653,"mmm")</f>
        <v>Oct</v>
      </c>
      <c r="D653" s="16" t="s">
        <v>33</v>
      </c>
      <c r="E653" s="16" t="str">
        <f aca="false">INDEX(Products!$B$2:$B$9,MATCH(D653,Products!$A$2:$A$9,0))</f>
        <v>Hot Espresso</v>
      </c>
      <c r="F653" s="17" t="n">
        <f aca="false">INDEX(Products!$C$2:$C$9,MATCH(D653,Products!$A$2:$A$9,0))</f>
        <v>5.25</v>
      </c>
      <c r="G653" s="18" t="n">
        <v>40</v>
      </c>
      <c r="H653" s="17" t="n">
        <f aca="false">F653*G653</f>
        <v>210</v>
      </c>
    </row>
    <row r="654" customFormat="false" ht="15" hidden="false" customHeight="false" outlineLevel="0" collapsed="false">
      <c r="A654" s="15" t="n">
        <v>45954</v>
      </c>
      <c r="B654" s="16" t="str">
        <f aca="false">TEXT(A654,"ddd")</f>
        <v>Fri</v>
      </c>
      <c r="C654" s="16" t="str">
        <f aca="false">TEXT(A654,"mmm")</f>
        <v>Oct</v>
      </c>
      <c r="D654" s="16" t="s">
        <v>34</v>
      </c>
      <c r="E654" s="16" t="str">
        <f aca="false">INDEX(Products!$B$2:$B$9,MATCH(D654,Products!$A$2:$A$9,0))</f>
        <v>Seasonal</v>
      </c>
      <c r="F654" s="17" t="n">
        <f aca="false">INDEX(Products!$C$2:$C$9,MATCH(D654,Products!$A$2:$A$9,0))</f>
        <v>5.75</v>
      </c>
      <c r="G654" s="18" t="n">
        <v>91</v>
      </c>
      <c r="H654" s="17" t="n">
        <f aca="false">F654*G654</f>
        <v>523.25</v>
      </c>
    </row>
    <row r="655" customFormat="false" ht="15" hidden="false" customHeight="false" outlineLevel="0" collapsed="false">
      <c r="A655" s="15" t="n">
        <v>45954</v>
      </c>
      <c r="B655" s="16" t="str">
        <f aca="false">TEXT(A655,"ddd")</f>
        <v>Fri</v>
      </c>
      <c r="C655" s="16" t="str">
        <f aca="false">TEXT(A655,"mmm")</f>
        <v>Oct</v>
      </c>
      <c r="D655" s="16" t="s">
        <v>36</v>
      </c>
      <c r="E655" s="16" t="str">
        <f aca="false">INDEX(Products!$B$2:$B$9,MATCH(D655,Products!$A$2:$A$9,0))</f>
        <v>Cold Drinks</v>
      </c>
      <c r="F655" s="17" t="n">
        <f aca="false">INDEX(Products!$C$2:$C$9,MATCH(D655,Products!$A$2:$A$9,0))</f>
        <v>3.95</v>
      </c>
      <c r="G655" s="18" t="n">
        <v>42</v>
      </c>
      <c r="H655" s="17" t="n">
        <f aca="false">F655*G655</f>
        <v>165.9</v>
      </c>
    </row>
    <row r="656" customFormat="false" ht="15" hidden="false" customHeight="false" outlineLevel="0" collapsed="false">
      <c r="A656" s="15" t="n">
        <v>45954</v>
      </c>
      <c r="B656" s="16" t="str">
        <f aca="false">TEXT(A656,"ddd")</f>
        <v>Fri</v>
      </c>
      <c r="C656" s="16" t="str">
        <f aca="false">TEXT(A656,"mmm")</f>
        <v>Oct</v>
      </c>
      <c r="D656" s="16" t="s">
        <v>38</v>
      </c>
      <c r="E656" s="16" t="str">
        <f aca="false">INDEX(Products!$B$2:$B$9,MATCH(D656,Products!$A$2:$A$9,0))</f>
        <v>Cold Drinks</v>
      </c>
      <c r="F656" s="17" t="n">
        <f aca="false">INDEX(Products!$C$2:$C$9,MATCH(D656,Products!$A$2:$A$9,0))</f>
        <v>4.45</v>
      </c>
      <c r="G656" s="18" t="n">
        <v>34</v>
      </c>
      <c r="H656" s="17" t="n">
        <f aca="false">F656*G656</f>
        <v>151.3</v>
      </c>
    </row>
    <row r="657" customFormat="false" ht="15" hidden="false" customHeight="false" outlineLevel="0" collapsed="false">
      <c r="A657" s="15" t="n">
        <v>45955</v>
      </c>
      <c r="B657" s="16" t="str">
        <f aca="false">TEXT(A657,"ddd")</f>
        <v>Sat</v>
      </c>
      <c r="C657" s="16" t="str">
        <f aca="false">TEXT(A657,"mmm")</f>
        <v>Oct</v>
      </c>
      <c r="D657" s="16" t="s">
        <v>28</v>
      </c>
      <c r="E657" s="16" t="str">
        <f aca="false">INDEX(Products!$B$2:$B$9,MATCH(D657,Products!$A$2:$A$9,0))</f>
        <v>Hot Espresso</v>
      </c>
      <c r="F657" s="17" t="n">
        <f aca="false">INDEX(Products!$C$2:$C$9,MATCH(D657,Products!$A$2:$A$9,0))</f>
        <v>4.95</v>
      </c>
      <c r="G657" s="18" t="n">
        <v>80</v>
      </c>
      <c r="H657" s="17" t="n">
        <f aca="false">F657*G657</f>
        <v>396</v>
      </c>
    </row>
    <row r="658" customFormat="false" ht="15" hidden="false" customHeight="false" outlineLevel="0" collapsed="false">
      <c r="A658" s="15" t="n">
        <v>45955</v>
      </c>
      <c r="B658" s="16" t="str">
        <f aca="false">TEXT(A658,"ddd")</f>
        <v>Sat</v>
      </c>
      <c r="C658" s="16" t="str">
        <f aca="false">TEXT(A658,"mmm")</f>
        <v>Oct</v>
      </c>
      <c r="D658" s="16" t="s">
        <v>30</v>
      </c>
      <c r="E658" s="16" t="str">
        <f aca="false">INDEX(Products!$B$2:$B$9,MATCH(D658,Products!$A$2:$A$9,0))</f>
        <v>Hot Espresso</v>
      </c>
      <c r="F658" s="17" t="n">
        <f aca="false">INDEX(Products!$C$2:$C$9,MATCH(D658,Products!$A$2:$A$9,0))</f>
        <v>4.75</v>
      </c>
      <c r="G658" s="18" t="n">
        <v>62</v>
      </c>
      <c r="H658" s="17" t="n">
        <f aca="false">F658*G658</f>
        <v>294.5</v>
      </c>
    </row>
    <row r="659" customFormat="false" ht="15" hidden="false" customHeight="false" outlineLevel="0" collapsed="false">
      <c r="A659" s="15" t="n">
        <v>45955</v>
      </c>
      <c r="B659" s="16" t="str">
        <f aca="false">TEXT(A659,"ddd")</f>
        <v>Sat</v>
      </c>
      <c r="C659" s="16" t="str">
        <f aca="false">TEXT(A659,"mmm")</f>
        <v>Oct</v>
      </c>
      <c r="D659" s="16" t="s">
        <v>31</v>
      </c>
      <c r="E659" s="16" t="str">
        <f aca="false">INDEX(Products!$B$2:$B$9,MATCH(D659,Products!$A$2:$A$9,0))</f>
        <v>Hot Espresso</v>
      </c>
      <c r="F659" s="17" t="n">
        <f aca="false">INDEX(Products!$C$2:$C$9,MATCH(D659,Products!$A$2:$A$9,0))</f>
        <v>5.45</v>
      </c>
      <c r="G659" s="18" t="n">
        <v>60</v>
      </c>
      <c r="H659" s="17" t="n">
        <f aca="false">F659*G659</f>
        <v>327</v>
      </c>
    </row>
    <row r="660" customFormat="false" ht="15" hidden="false" customHeight="false" outlineLevel="0" collapsed="false">
      <c r="A660" s="15" t="n">
        <v>45955</v>
      </c>
      <c r="B660" s="16" t="str">
        <f aca="false">TEXT(A660,"ddd")</f>
        <v>Sat</v>
      </c>
      <c r="C660" s="16" t="str">
        <f aca="false">TEXT(A660,"mmm")</f>
        <v>Oct</v>
      </c>
      <c r="D660" s="16" t="s">
        <v>32</v>
      </c>
      <c r="E660" s="16" t="str">
        <f aca="false">INDEX(Products!$B$2:$B$9,MATCH(D660,Products!$A$2:$A$9,0))</f>
        <v>Hot Espresso</v>
      </c>
      <c r="F660" s="17" t="n">
        <f aca="false">INDEX(Products!$C$2:$C$9,MATCH(D660,Products!$A$2:$A$9,0))</f>
        <v>3.75</v>
      </c>
      <c r="G660" s="18" t="n">
        <v>37</v>
      </c>
      <c r="H660" s="17" t="n">
        <f aca="false">F660*G660</f>
        <v>138.75</v>
      </c>
    </row>
    <row r="661" customFormat="false" ht="15" hidden="false" customHeight="false" outlineLevel="0" collapsed="false">
      <c r="A661" s="15" t="n">
        <v>45955</v>
      </c>
      <c r="B661" s="16" t="str">
        <f aca="false">TEXT(A661,"ddd")</f>
        <v>Sat</v>
      </c>
      <c r="C661" s="16" t="str">
        <f aca="false">TEXT(A661,"mmm")</f>
        <v>Oct</v>
      </c>
      <c r="D661" s="16" t="s">
        <v>33</v>
      </c>
      <c r="E661" s="16" t="str">
        <f aca="false">INDEX(Products!$B$2:$B$9,MATCH(D661,Products!$A$2:$A$9,0))</f>
        <v>Hot Espresso</v>
      </c>
      <c r="F661" s="17" t="n">
        <f aca="false">INDEX(Products!$C$2:$C$9,MATCH(D661,Products!$A$2:$A$9,0))</f>
        <v>5.25</v>
      </c>
      <c r="G661" s="18" t="n">
        <v>47</v>
      </c>
      <c r="H661" s="17" t="n">
        <f aca="false">F661*G661</f>
        <v>246.75</v>
      </c>
    </row>
    <row r="662" customFormat="false" ht="15" hidden="false" customHeight="false" outlineLevel="0" collapsed="false">
      <c r="A662" s="15" t="n">
        <v>45955</v>
      </c>
      <c r="B662" s="16" t="str">
        <f aca="false">TEXT(A662,"ddd")</f>
        <v>Sat</v>
      </c>
      <c r="C662" s="16" t="str">
        <f aca="false">TEXT(A662,"mmm")</f>
        <v>Oct</v>
      </c>
      <c r="D662" s="16" t="s">
        <v>34</v>
      </c>
      <c r="E662" s="16" t="str">
        <f aca="false">INDEX(Products!$B$2:$B$9,MATCH(D662,Products!$A$2:$A$9,0))</f>
        <v>Seasonal</v>
      </c>
      <c r="F662" s="17" t="n">
        <f aca="false">INDEX(Products!$C$2:$C$9,MATCH(D662,Products!$A$2:$A$9,0))</f>
        <v>5.75</v>
      </c>
      <c r="G662" s="18" t="n">
        <v>93</v>
      </c>
      <c r="H662" s="17" t="n">
        <f aca="false">F662*G662</f>
        <v>534.75</v>
      </c>
    </row>
    <row r="663" customFormat="false" ht="15" hidden="false" customHeight="false" outlineLevel="0" collapsed="false">
      <c r="A663" s="15" t="n">
        <v>45955</v>
      </c>
      <c r="B663" s="16" t="str">
        <f aca="false">TEXT(A663,"ddd")</f>
        <v>Sat</v>
      </c>
      <c r="C663" s="16" t="str">
        <f aca="false">TEXT(A663,"mmm")</f>
        <v>Oct</v>
      </c>
      <c r="D663" s="16" t="s">
        <v>36</v>
      </c>
      <c r="E663" s="16" t="str">
        <f aca="false">INDEX(Products!$B$2:$B$9,MATCH(D663,Products!$A$2:$A$9,0))</f>
        <v>Cold Drinks</v>
      </c>
      <c r="F663" s="17" t="n">
        <f aca="false">INDEX(Products!$C$2:$C$9,MATCH(D663,Products!$A$2:$A$9,0))</f>
        <v>3.95</v>
      </c>
      <c r="G663" s="18" t="n">
        <v>49</v>
      </c>
      <c r="H663" s="17" t="n">
        <f aca="false">F663*G663</f>
        <v>193.55</v>
      </c>
    </row>
    <row r="664" customFormat="false" ht="15" hidden="false" customHeight="false" outlineLevel="0" collapsed="false">
      <c r="A664" s="15" t="n">
        <v>45955</v>
      </c>
      <c r="B664" s="16" t="str">
        <f aca="false">TEXT(A664,"ddd")</f>
        <v>Sat</v>
      </c>
      <c r="C664" s="16" t="str">
        <f aca="false">TEXT(A664,"mmm")</f>
        <v>Oct</v>
      </c>
      <c r="D664" s="16" t="s">
        <v>38</v>
      </c>
      <c r="E664" s="16" t="str">
        <f aca="false">INDEX(Products!$B$2:$B$9,MATCH(D664,Products!$A$2:$A$9,0))</f>
        <v>Cold Drinks</v>
      </c>
      <c r="F664" s="17" t="n">
        <f aca="false">INDEX(Products!$C$2:$C$9,MATCH(D664,Products!$A$2:$A$9,0))</f>
        <v>4.45</v>
      </c>
      <c r="G664" s="18" t="n">
        <v>40</v>
      </c>
      <c r="H664" s="17" t="n">
        <f aca="false">F664*G664</f>
        <v>178</v>
      </c>
    </row>
    <row r="665" customFormat="false" ht="15" hidden="false" customHeight="false" outlineLevel="0" collapsed="false">
      <c r="A665" s="15" t="n">
        <v>45956</v>
      </c>
      <c r="B665" s="16" t="str">
        <f aca="false">TEXT(A665,"ddd")</f>
        <v>Sun</v>
      </c>
      <c r="C665" s="16" t="str">
        <f aca="false">TEXT(A665,"mmm")</f>
        <v>Oct</v>
      </c>
      <c r="D665" s="16" t="s">
        <v>28</v>
      </c>
      <c r="E665" s="16" t="str">
        <f aca="false">INDEX(Products!$B$2:$B$9,MATCH(D665,Products!$A$2:$A$9,0))</f>
        <v>Hot Espresso</v>
      </c>
      <c r="F665" s="17" t="n">
        <f aca="false">INDEX(Products!$C$2:$C$9,MATCH(D665,Products!$A$2:$A$9,0))</f>
        <v>4.95</v>
      </c>
      <c r="G665" s="18" t="n">
        <v>81</v>
      </c>
      <c r="H665" s="17" t="n">
        <f aca="false">F665*G665</f>
        <v>400.95</v>
      </c>
    </row>
    <row r="666" customFormat="false" ht="15" hidden="false" customHeight="false" outlineLevel="0" collapsed="false">
      <c r="A666" s="15" t="n">
        <v>45956</v>
      </c>
      <c r="B666" s="16" t="str">
        <f aca="false">TEXT(A666,"ddd")</f>
        <v>Sun</v>
      </c>
      <c r="C666" s="16" t="str">
        <f aca="false">TEXT(A666,"mmm")</f>
        <v>Oct</v>
      </c>
      <c r="D666" s="16" t="s">
        <v>30</v>
      </c>
      <c r="E666" s="16" t="str">
        <f aca="false">INDEX(Products!$B$2:$B$9,MATCH(D666,Products!$A$2:$A$9,0))</f>
        <v>Hot Espresso</v>
      </c>
      <c r="F666" s="17" t="n">
        <f aca="false">INDEX(Products!$C$2:$C$9,MATCH(D666,Products!$A$2:$A$9,0))</f>
        <v>4.75</v>
      </c>
      <c r="G666" s="18" t="n">
        <v>53</v>
      </c>
      <c r="H666" s="17" t="n">
        <f aca="false">F666*G666</f>
        <v>251.75</v>
      </c>
    </row>
    <row r="667" customFormat="false" ht="15" hidden="false" customHeight="false" outlineLevel="0" collapsed="false">
      <c r="A667" s="15" t="n">
        <v>45956</v>
      </c>
      <c r="B667" s="16" t="str">
        <f aca="false">TEXT(A667,"ddd")</f>
        <v>Sun</v>
      </c>
      <c r="C667" s="16" t="str">
        <f aca="false">TEXT(A667,"mmm")</f>
        <v>Oct</v>
      </c>
      <c r="D667" s="16" t="s">
        <v>31</v>
      </c>
      <c r="E667" s="16" t="str">
        <f aca="false">INDEX(Products!$B$2:$B$9,MATCH(D667,Products!$A$2:$A$9,0))</f>
        <v>Hot Espresso</v>
      </c>
      <c r="F667" s="17" t="n">
        <f aca="false">INDEX(Products!$C$2:$C$9,MATCH(D667,Products!$A$2:$A$9,0))</f>
        <v>5.45</v>
      </c>
      <c r="G667" s="18" t="n">
        <v>48</v>
      </c>
      <c r="H667" s="17" t="n">
        <f aca="false">F667*G667</f>
        <v>261.6</v>
      </c>
    </row>
    <row r="668" customFormat="false" ht="15" hidden="false" customHeight="false" outlineLevel="0" collapsed="false">
      <c r="A668" s="15" t="n">
        <v>45956</v>
      </c>
      <c r="B668" s="16" t="str">
        <f aca="false">TEXT(A668,"ddd")</f>
        <v>Sun</v>
      </c>
      <c r="C668" s="16" t="str">
        <f aca="false">TEXT(A668,"mmm")</f>
        <v>Oct</v>
      </c>
      <c r="D668" s="16" t="s">
        <v>32</v>
      </c>
      <c r="E668" s="16" t="str">
        <f aca="false">INDEX(Products!$B$2:$B$9,MATCH(D668,Products!$A$2:$A$9,0))</f>
        <v>Hot Espresso</v>
      </c>
      <c r="F668" s="17" t="n">
        <f aca="false">INDEX(Products!$C$2:$C$9,MATCH(D668,Products!$A$2:$A$9,0))</f>
        <v>3.75</v>
      </c>
      <c r="G668" s="18" t="n">
        <v>33</v>
      </c>
      <c r="H668" s="17" t="n">
        <f aca="false">F668*G668</f>
        <v>123.75</v>
      </c>
    </row>
    <row r="669" customFormat="false" ht="15" hidden="false" customHeight="false" outlineLevel="0" collapsed="false">
      <c r="A669" s="15" t="n">
        <v>45956</v>
      </c>
      <c r="B669" s="16" t="str">
        <f aca="false">TEXT(A669,"ddd")</f>
        <v>Sun</v>
      </c>
      <c r="C669" s="16" t="str">
        <f aca="false">TEXT(A669,"mmm")</f>
        <v>Oct</v>
      </c>
      <c r="D669" s="16" t="s">
        <v>33</v>
      </c>
      <c r="E669" s="16" t="str">
        <f aca="false">INDEX(Products!$B$2:$B$9,MATCH(D669,Products!$A$2:$A$9,0))</f>
        <v>Hot Espresso</v>
      </c>
      <c r="F669" s="17" t="n">
        <f aca="false">INDEX(Products!$C$2:$C$9,MATCH(D669,Products!$A$2:$A$9,0))</f>
        <v>5.25</v>
      </c>
      <c r="G669" s="18" t="n">
        <v>41</v>
      </c>
      <c r="H669" s="17" t="n">
        <f aca="false">F669*G669</f>
        <v>215.25</v>
      </c>
    </row>
    <row r="670" customFormat="false" ht="15" hidden="false" customHeight="false" outlineLevel="0" collapsed="false">
      <c r="A670" s="15" t="n">
        <v>45956</v>
      </c>
      <c r="B670" s="16" t="str">
        <f aca="false">TEXT(A670,"ddd")</f>
        <v>Sun</v>
      </c>
      <c r="C670" s="16" t="str">
        <f aca="false">TEXT(A670,"mmm")</f>
        <v>Oct</v>
      </c>
      <c r="D670" s="16" t="s">
        <v>34</v>
      </c>
      <c r="E670" s="16" t="str">
        <f aca="false">INDEX(Products!$B$2:$B$9,MATCH(D670,Products!$A$2:$A$9,0))</f>
        <v>Seasonal</v>
      </c>
      <c r="F670" s="17" t="n">
        <f aca="false">INDEX(Products!$C$2:$C$9,MATCH(D670,Products!$A$2:$A$9,0))</f>
        <v>5.75</v>
      </c>
      <c r="G670" s="18" t="n">
        <v>85</v>
      </c>
      <c r="H670" s="17" t="n">
        <f aca="false">F670*G670</f>
        <v>488.75</v>
      </c>
    </row>
    <row r="671" customFormat="false" ht="15" hidden="false" customHeight="false" outlineLevel="0" collapsed="false">
      <c r="A671" s="15" t="n">
        <v>45956</v>
      </c>
      <c r="B671" s="16" t="str">
        <f aca="false">TEXT(A671,"ddd")</f>
        <v>Sun</v>
      </c>
      <c r="C671" s="16" t="str">
        <f aca="false">TEXT(A671,"mmm")</f>
        <v>Oct</v>
      </c>
      <c r="D671" s="16" t="s">
        <v>36</v>
      </c>
      <c r="E671" s="16" t="str">
        <f aca="false">INDEX(Products!$B$2:$B$9,MATCH(D671,Products!$A$2:$A$9,0))</f>
        <v>Cold Drinks</v>
      </c>
      <c r="F671" s="17" t="n">
        <f aca="false">INDEX(Products!$C$2:$C$9,MATCH(D671,Products!$A$2:$A$9,0))</f>
        <v>3.95</v>
      </c>
      <c r="G671" s="18" t="n">
        <v>46</v>
      </c>
      <c r="H671" s="17" t="n">
        <f aca="false">F671*G671</f>
        <v>181.7</v>
      </c>
    </row>
    <row r="672" customFormat="false" ht="15" hidden="false" customHeight="false" outlineLevel="0" collapsed="false">
      <c r="A672" s="15" t="n">
        <v>45956</v>
      </c>
      <c r="B672" s="16" t="str">
        <f aca="false">TEXT(A672,"ddd")</f>
        <v>Sun</v>
      </c>
      <c r="C672" s="16" t="str">
        <f aca="false">TEXT(A672,"mmm")</f>
        <v>Oct</v>
      </c>
      <c r="D672" s="16" t="s">
        <v>38</v>
      </c>
      <c r="E672" s="16" t="str">
        <f aca="false">INDEX(Products!$B$2:$B$9,MATCH(D672,Products!$A$2:$A$9,0))</f>
        <v>Cold Drinks</v>
      </c>
      <c r="F672" s="17" t="n">
        <f aca="false">INDEX(Products!$C$2:$C$9,MATCH(D672,Products!$A$2:$A$9,0))</f>
        <v>4.45</v>
      </c>
      <c r="G672" s="18" t="n">
        <v>30</v>
      </c>
      <c r="H672" s="17" t="n">
        <f aca="false">F672*G672</f>
        <v>133.5</v>
      </c>
    </row>
    <row r="673" customFormat="false" ht="15" hidden="false" customHeight="false" outlineLevel="0" collapsed="false">
      <c r="A673" s="15" t="n">
        <v>45957</v>
      </c>
      <c r="B673" s="16" t="str">
        <f aca="false">TEXT(A673,"ddd")</f>
        <v>Mon</v>
      </c>
      <c r="C673" s="16" t="str">
        <f aca="false">TEXT(A673,"mmm")</f>
        <v>Oct</v>
      </c>
      <c r="D673" s="16" t="s">
        <v>28</v>
      </c>
      <c r="E673" s="16" t="str">
        <f aca="false">INDEX(Products!$B$2:$B$9,MATCH(D673,Products!$A$2:$A$9,0))</f>
        <v>Hot Espresso</v>
      </c>
      <c r="F673" s="17" t="n">
        <f aca="false">INDEX(Products!$C$2:$C$9,MATCH(D673,Products!$A$2:$A$9,0))</f>
        <v>4.95</v>
      </c>
      <c r="G673" s="18" t="n">
        <v>78</v>
      </c>
      <c r="H673" s="17" t="n">
        <f aca="false">F673*G673</f>
        <v>386.1</v>
      </c>
    </row>
    <row r="674" customFormat="false" ht="15" hidden="false" customHeight="false" outlineLevel="0" collapsed="false">
      <c r="A674" s="15" t="n">
        <v>45957</v>
      </c>
      <c r="B674" s="16" t="str">
        <f aca="false">TEXT(A674,"ddd")</f>
        <v>Mon</v>
      </c>
      <c r="C674" s="16" t="str">
        <f aca="false">TEXT(A674,"mmm")</f>
        <v>Oct</v>
      </c>
      <c r="D674" s="16" t="s">
        <v>30</v>
      </c>
      <c r="E674" s="16" t="str">
        <f aca="false">INDEX(Products!$B$2:$B$9,MATCH(D674,Products!$A$2:$A$9,0))</f>
        <v>Hot Espresso</v>
      </c>
      <c r="F674" s="17" t="n">
        <f aca="false">INDEX(Products!$C$2:$C$9,MATCH(D674,Products!$A$2:$A$9,0))</f>
        <v>4.75</v>
      </c>
      <c r="G674" s="18" t="n">
        <v>51</v>
      </c>
      <c r="H674" s="17" t="n">
        <f aca="false">F674*G674</f>
        <v>242.25</v>
      </c>
    </row>
    <row r="675" customFormat="false" ht="15" hidden="false" customHeight="false" outlineLevel="0" collapsed="false">
      <c r="A675" s="15" t="n">
        <v>45957</v>
      </c>
      <c r="B675" s="16" t="str">
        <f aca="false">TEXT(A675,"ddd")</f>
        <v>Mon</v>
      </c>
      <c r="C675" s="16" t="str">
        <f aca="false">TEXT(A675,"mmm")</f>
        <v>Oct</v>
      </c>
      <c r="D675" s="16" t="s">
        <v>31</v>
      </c>
      <c r="E675" s="16" t="str">
        <f aca="false">INDEX(Products!$B$2:$B$9,MATCH(D675,Products!$A$2:$A$9,0))</f>
        <v>Hot Espresso</v>
      </c>
      <c r="F675" s="17" t="n">
        <f aca="false">INDEX(Products!$C$2:$C$9,MATCH(D675,Products!$A$2:$A$9,0))</f>
        <v>5.45</v>
      </c>
      <c r="G675" s="18" t="n">
        <v>48</v>
      </c>
      <c r="H675" s="17" t="n">
        <f aca="false">F675*G675</f>
        <v>261.6</v>
      </c>
    </row>
    <row r="676" customFormat="false" ht="15" hidden="false" customHeight="false" outlineLevel="0" collapsed="false">
      <c r="A676" s="15" t="n">
        <v>45957</v>
      </c>
      <c r="B676" s="16" t="str">
        <f aca="false">TEXT(A676,"ddd")</f>
        <v>Mon</v>
      </c>
      <c r="C676" s="16" t="str">
        <f aca="false">TEXT(A676,"mmm")</f>
        <v>Oct</v>
      </c>
      <c r="D676" s="16" t="s">
        <v>32</v>
      </c>
      <c r="E676" s="16" t="str">
        <f aca="false">INDEX(Products!$B$2:$B$9,MATCH(D676,Products!$A$2:$A$9,0))</f>
        <v>Hot Espresso</v>
      </c>
      <c r="F676" s="17" t="n">
        <f aca="false">INDEX(Products!$C$2:$C$9,MATCH(D676,Products!$A$2:$A$9,0))</f>
        <v>3.75</v>
      </c>
      <c r="G676" s="18" t="n">
        <v>28</v>
      </c>
      <c r="H676" s="17" t="n">
        <f aca="false">F676*G676</f>
        <v>105</v>
      </c>
    </row>
    <row r="677" customFormat="false" ht="15" hidden="false" customHeight="false" outlineLevel="0" collapsed="false">
      <c r="A677" s="15" t="n">
        <v>45957</v>
      </c>
      <c r="B677" s="16" t="str">
        <f aca="false">TEXT(A677,"ddd")</f>
        <v>Mon</v>
      </c>
      <c r="C677" s="16" t="str">
        <f aca="false">TEXT(A677,"mmm")</f>
        <v>Oct</v>
      </c>
      <c r="D677" s="16" t="s">
        <v>33</v>
      </c>
      <c r="E677" s="16" t="str">
        <f aca="false">INDEX(Products!$B$2:$B$9,MATCH(D677,Products!$A$2:$A$9,0))</f>
        <v>Hot Espresso</v>
      </c>
      <c r="F677" s="17" t="n">
        <f aca="false">INDEX(Products!$C$2:$C$9,MATCH(D677,Products!$A$2:$A$9,0))</f>
        <v>5.25</v>
      </c>
      <c r="G677" s="18" t="n">
        <v>36</v>
      </c>
      <c r="H677" s="17" t="n">
        <f aca="false">F677*G677</f>
        <v>189</v>
      </c>
    </row>
    <row r="678" customFormat="false" ht="15" hidden="false" customHeight="false" outlineLevel="0" collapsed="false">
      <c r="A678" s="15" t="n">
        <v>45957</v>
      </c>
      <c r="B678" s="16" t="str">
        <f aca="false">TEXT(A678,"ddd")</f>
        <v>Mon</v>
      </c>
      <c r="C678" s="16" t="str">
        <f aca="false">TEXT(A678,"mmm")</f>
        <v>Oct</v>
      </c>
      <c r="D678" s="16" t="s">
        <v>34</v>
      </c>
      <c r="E678" s="16" t="str">
        <f aca="false">INDEX(Products!$B$2:$B$9,MATCH(D678,Products!$A$2:$A$9,0))</f>
        <v>Seasonal</v>
      </c>
      <c r="F678" s="17" t="n">
        <f aca="false">INDEX(Products!$C$2:$C$9,MATCH(D678,Products!$A$2:$A$9,0))</f>
        <v>5.75</v>
      </c>
      <c r="G678" s="18" t="n">
        <v>84</v>
      </c>
      <c r="H678" s="17" t="n">
        <f aca="false">F678*G678</f>
        <v>483</v>
      </c>
    </row>
    <row r="679" customFormat="false" ht="15" hidden="false" customHeight="false" outlineLevel="0" collapsed="false">
      <c r="A679" s="15" t="n">
        <v>45957</v>
      </c>
      <c r="B679" s="16" t="str">
        <f aca="false">TEXT(A679,"ddd")</f>
        <v>Mon</v>
      </c>
      <c r="C679" s="16" t="str">
        <f aca="false">TEXT(A679,"mmm")</f>
        <v>Oct</v>
      </c>
      <c r="D679" s="16" t="s">
        <v>36</v>
      </c>
      <c r="E679" s="16" t="str">
        <f aca="false">INDEX(Products!$B$2:$B$9,MATCH(D679,Products!$A$2:$A$9,0))</f>
        <v>Cold Drinks</v>
      </c>
      <c r="F679" s="17" t="n">
        <f aca="false">INDEX(Products!$C$2:$C$9,MATCH(D679,Products!$A$2:$A$9,0))</f>
        <v>3.95</v>
      </c>
      <c r="G679" s="18" t="n">
        <v>34</v>
      </c>
      <c r="H679" s="17" t="n">
        <f aca="false">F679*G679</f>
        <v>134.3</v>
      </c>
    </row>
    <row r="680" customFormat="false" ht="15" hidden="false" customHeight="false" outlineLevel="0" collapsed="false">
      <c r="A680" s="15" t="n">
        <v>45957</v>
      </c>
      <c r="B680" s="16" t="str">
        <f aca="false">TEXT(A680,"ddd")</f>
        <v>Mon</v>
      </c>
      <c r="C680" s="16" t="str">
        <f aca="false">TEXT(A680,"mmm")</f>
        <v>Oct</v>
      </c>
      <c r="D680" s="16" t="s">
        <v>38</v>
      </c>
      <c r="E680" s="16" t="str">
        <f aca="false">INDEX(Products!$B$2:$B$9,MATCH(D680,Products!$A$2:$A$9,0))</f>
        <v>Cold Drinks</v>
      </c>
      <c r="F680" s="17" t="n">
        <f aca="false">INDEX(Products!$C$2:$C$9,MATCH(D680,Products!$A$2:$A$9,0))</f>
        <v>4.45</v>
      </c>
      <c r="G680" s="18" t="n">
        <v>32</v>
      </c>
      <c r="H680" s="17" t="n">
        <f aca="false">F680*G680</f>
        <v>142.4</v>
      </c>
    </row>
    <row r="681" customFormat="false" ht="15" hidden="false" customHeight="false" outlineLevel="0" collapsed="false">
      <c r="A681" s="15" t="n">
        <v>45958</v>
      </c>
      <c r="B681" s="16" t="str">
        <f aca="false">TEXT(A681,"ddd")</f>
        <v>Tue</v>
      </c>
      <c r="C681" s="16" t="str">
        <f aca="false">TEXT(A681,"mmm")</f>
        <v>Oct</v>
      </c>
      <c r="D681" s="16" t="s">
        <v>28</v>
      </c>
      <c r="E681" s="16" t="str">
        <f aca="false">INDEX(Products!$B$2:$B$9,MATCH(D681,Products!$A$2:$A$9,0))</f>
        <v>Hot Espresso</v>
      </c>
      <c r="F681" s="17" t="n">
        <f aca="false">INDEX(Products!$C$2:$C$9,MATCH(D681,Products!$A$2:$A$9,0))</f>
        <v>4.95</v>
      </c>
      <c r="G681" s="18" t="n">
        <v>78</v>
      </c>
      <c r="H681" s="17" t="n">
        <f aca="false">F681*G681</f>
        <v>386.1</v>
      </c>
    </row>
    <row r="682" customFormat="false" ht="15" hidden="false" customHeight="false" outlineLevel="0" collapsed="false">
      <c r="A682" s="15" t="n">
        <v>45958</v>
      </c>
      <c r="B682" s="16" t="str">
        <f aca="false">TEXT(A682,"ddd")</f>
        <v>Tue</v>
      </c>
      <c r="C682" s="16" t="str">
        <f aca="false">TEXT(A682,"mmm")</f>
        <v>Oct</v>
      </c>
      <c r="D682" s="16" t="s">
        <v>30</v>
      </c>
      <c r="E682" s="16" t="str">
        <f aca="false">INDEX(Products!$B$2:$B$9,MATCH(D682,Products!$A$2:$A$9,0))</f>
        <v>Hot Espresso</v>
      </c>
      <c r="F682" s="17" t="n">
        <f aca="false">INDEX(Products!$C$2:$C$9,MATCH(D682,Products!$A$2:$A$9,0))</f>
        <v>4.75</v>
      </c>
      <c r="G682" s="18" t="n">
        <v>47</v>
      </c>
      <c r="H682" s="17" t="n">
        <f aca="false">F682*G682</f>
        <v>223.25</v>
      </c>
    </row>
    <row r="683" customFormat="false" ht="15" hidden="false" customHeight="false" outlineLevel="0" collapsed="false">
      <c r="A683" s="15" t="n">
        <v>45958</v>
      </c>
      <c r="B683" s="16" t="str">
        <f aca="false">TEXT(A683,"ddd")</f>
        <v>Tue</v>
      </c>
      <c r="C683" s="16" t="str">
        <f aca="false">TEXT(A683,"mmm")</f>
        <v>Oct</v>
      </c>
      <c r="D683" s="16" t="s">
        <v>31</v>
      </c>
      <c r="E683" s="16" t="str">
        <f aca="false">INDEX(Products!$B$2:$B$9,MATCH(D683,Products!$A$2:$A$9,0))</f>
        <v>Hot Espresso</v>
      </c>
      <c r="F683" s="17" t="n">
        <f aca="false">INDEX(Products!$C$2:$C$9,MATCH(D683,Products!$A$2:$A$9,0))</f>
        <v>5.45</v>
      </c>
      <c r="G683" s="18" t="n">
        <v>47</v>
      </c>
      <c r="H683" s="17" t="n">
        <f aca="false">F683*G683</f>
        <v>256.15</v>
      </c>
    </row>
    <row r="684" customFormat="false" ht="15" hidden="false" customHeight="false" outlineLevel="0" collapsed="false">
      <c r="A684" s="15" t="n">
        <v>45958</v>
      </c>
      <c r="B684" s="16" t="str">
        <f aca="false">TEXT(A684,"ddd")</f>
        <v>Tue</v>
      </c>
      <c r="C684" s="16" t="str">
        <f aca="false">TEXT(A684,"mmm")</f>
        <v>Oct</v>
      </c>
      <c r="D684" s="16" t="s">
        <v>32</v>
      </c>
      <c r="E684" s="16" t="str">
        <f aca="false">INDEX(Products!$B$2:$B$9,MATCH(D684,Products!$A$2:$A$9,0))</f>
        <v>Hot Espresso</v>
      </c>
      <c r="F684" s="17" t="n">
        <f aca="false">INDEX(Products!$C$2:$C$9,MATCH(D684,Products!$A$2:$A$9,0))</f>
        <v>3.75</v>
      </c>
      <c r="G684" s="18" t="n">
        <v>30</v>
      </c>
      <c r="H684" s="17" t="n">
        <f aca="false">F684*G684</f>
        <v>112.5</v>
      </c>
    </row>
    <row r="685" customFormat="false" ht="15" hidden="false" customHeight="false" outlineLevel="0" collapsed="false">
      <c r="A685" s="15" t="n">
        <v>45958</v>
      </c>
      <c r="B685" s="16" t="str">
        <f aca="false">TEXT(A685,"ddd")</f>
        <v>Tue</v>
      </c>
      <c r="C685" s="16" t="str">
        <f aca="false">TEXT(A685,"mmm")</f>
        <v>Oct</v>
      </c>
      <c r="D685" s="16" t="s">
        <v>33</v>
      </c>
      <c r="E685" s="16" t="str">
        <f aca="false">INDEX(Products!$B$2:$B$9,MATCH(D685,Products!$A$2:$A$9,0))</f>
        <v>Hot Espresso</v>
      </c>
      <c r="F685" s="17" t="n">
        <f aca="false">INDEX(Products!$C$2:$C$9,MATCH(D685,Products!$A$2:$A$9,0))</f>
        <v>5.25</v>
      </c>
      <c r="G685" s="18" t="n">
        <v>40</v>
      </c>
      <c r="H685" s="17" t="n">
        <f aca="false">F685*G685</f>
        <v>210</v>
      </c>
    </row>
    <row r="686" customFormat="false" ht="15" hidden="false" customHeight="false" outlineLevel="0" collapsed="false">
      <c r="A686" s="15" t="n">
        <v>45958</v>
      </c>
      <c r="B686" s="16" t="str">
        <f aca="false">TEXT(A686,"ddd")</f>
        <v>Tue</v>
      </c>
      <c r="C686" s="16" t="str">
        <f aca="false">TEXT(A686,"mmm")</f>
        <v>Oct</v>
      </c>
      <c r="D686" s="16" t="s">
        <v>34</v>
      </c>
      <c r="E686" s="16" t="str">
        <f aca="false">INDEX(Products!$B$2:$B$9,MATCH(D686,Products!$A$2:$A$9,0))</f>
        <v>Seasonal</v>
      </c>
      <c r="F686" s="17" t="n">
        <f aca="false">INDEX(Products!$C$2:$C$9,MATCH(D686,Products!$A$2:$A$9,0))</f>
        <v>5.75</v>
      </c>
      <c r="G686" s="18" t="n">
        <v>93</v>
      </c>
      <c r="H686" s="17" t="n">
        <f aca="false">F686*G686</f>
        <v>534.75</v>
      </c>
    </row>
    <row r="687" customFormat="false" ht="15" hidden="false" customHeight="false" outlineLevel="0" collapsed="false">
      <c r="A687" s="15" t="n">
        <v>45958</v>
      </c>
      <c r="B687" s="16" t="str">
        <f aca="false">TEXT(A687,"ddd")</f>
        <v>Tue</v>
      </c>
      <c r="C687" s="16" t="str">
        <f aca="false">TEXT(A687,"mmm")</f>
        <v>Oct</v>
      </c>
      <c r="D687" s="16" t="s">
        <v>36</v>
      </c>
      <c r="E687" s="16" t="str">
        <f aca="false">INDEX(Products!$B$2:$B$9,MATCH(D687,Products!$A$2:$A$9,0))</f>
        <v>Cold Drinks</v>
      </c>
      <c r="F687" s="17" t="n">
        <f aca="false">INDEX(Products!$C$2:$C$9,MATCH(D687,Products!$A$2:$A$9,0))</f>
        <v>3.95</v>
      </c>
      <c r="G687" s="18" t="n">
        <v>42</v>
      </c>
      <c r="H687" s="17" t="n">
        <f aca="false">F687*G687</f>
        <v>165.9</v>
      </c>
    </row>
    <row r="688" customFormat="false" ht="15" hidden="false" customHeight="false" outlineLevel="0" collapsed="false">
      <c r="A688" s="15" t="n">
        <v>45958</v>
      </c>
      <c r="B688" s="16" t="str">
        <f aca="false">TEXT(A688,"ddd")</f>
        <v>Tue</v>
      </c>
      <c r="C688" s="16" t="str">
        <f aca="false">TEXT(A688,"mmm")</f>
        <v>Oct</v>
      </c>
      <c r="D688" s="16" t="s">
        <v>38</v>
      </c>
      <c r="E688" s="16" t="str">
        <f aca="false">INDEX(Products!$B$2:$B$9,MATCH(D688,Products!$A$2:$A$9,0))</f>
        <v>Cold Drinks</v>
      </c>
      <c r="F688" s="17" t="n">
        <f aca="false">INDEX(Products!$C$2:$C$9,MATCH(D688,Products!$A$2:$A$9,0))</f>
        <v>4.45</v>
      </c>
      <c r="G688" s="18" t="n">
        <v>30</v>
      </c>
      <c r="H688" s="17" t="n">
        <f aca="false">F688*G688</f>
        <v>133.5</v>
      </c>
    </row>
    <row r="689" customFormat="false" ht="15" hidden="false" customHeight="false" outlineLevel="0" collapsed="false">
      <c r="A689" s="15" t="n">
        <v>45959</v>
      </c>
      <c r="B689" s="16" t="str">
        <f aca="false">TEXT(A689,"ddd")</f>
        <v>Wed</v>
      </c>
      <c r="C689" s="16" t="str">
        <f aca="false">TEXT(A689,"mmm")</f>
        <v>Oct</v>
      </c>
      <c r="D689" s="16" t="s">
        <v>28</v>
      </c>
      <c r="E689" s="16" t="str">
        <f aca="false">INDEX(Products!$B$2:$B$9,MATCH(D689,Products!$A$2:$A$9,0))</f>
        <v>Hot Espresso</v>
      </c>
      <c r="F689" s="17" t="n">
        <f aca="false">INDEX(Products!$C$2:$C$9,MATCH(D689,Products!$A$2:$A$9,0))</f>
        <v>4.95</v>
      </c>
      <c r="G689" s="18" t="n">
        <v>71</v>
      </c>
      <c r="H689" s="17" t="n">
        <f aca="false">F689*G689</f>
        <v>351.45</v>
      </c>
    </row>
    <row r="690" customFormat="false" ht="15" hidden="false" customHeight="false" outlineLevel="0" collapsed="false">
      <c r="A690" s="15" t="n">
        <v>45959</v>
      </c>
      <c r="B690" s="16" t="str">
        <f aca="false">TEXT(A690,"ddd")</f>
        <v>Wed</v>
      </c>
      <c r="C690" s="16" t="str">
        <f aca="false">TEXT(A690,"mmm")</f>
        <v>Oct</v>
      </c>
      <c r="D690" s="16" t="s">
        <v>30</v>
      </c>
      <c r="E690" s="16" t="str">
        <f aca="false">INDEX(Products!$B$2:$B$9,MATCH(D690,Products!$A$2:$A$9,0))</f>
        <v>Hot Espresso</v>
      </c>
      <c r="F690" s="17" t="n">
        <f aca="false">INDEX(Products!$C$2:$C$9,MATCH(D690,Products!$A$2:$A$9,0))</f>
        <v>4.75</v>
      </c>
      <c r="G690" s="18" t="n">
        <v>49</v>
      </c>
      <c r="H690" s="17" t="n">
        <f aca="false">F690*G690</f>
        <v>232.75</v>
      </c>
    </row>
    <row r="691" customFormat="false" ht="15" hidden="false" customHeight="false" outlineLevel="0" collapsed="false">
      <c r="A691" s="15" t="n">
        <v>45959</v>
      </c>
      <c r="B691" s="16" t="str">
        <f aca="false">TEXT(A691,"ddd")</f>
        <v>Wed</v>
      </c>
      <c r="C691" s="16" t="str">
        <f aca="false">TEXT(A691,"mmm")</f>
        <v>Oct</v>
      </c>
      <c r="D691" s="16" t="s">
        <v>31</v>
      </c>
      <c r="E691" s="16" t="str">
        <f aca="false">INDEX(Products!$B$2:$B$9,MATCH(D691,Products!$A$2:$A$9,0))</f>
        <v>Hot Espresso</v>
      </c>
      <c r="F691" s="17" t="n">
        <f aca="false">INDEX(Products!$C$2:$C$9,MATCH(D691,Products!$A$2:$A$9,0))</f>
        <v>5.45</v>
      </c>
      <c r="G691" s="18" t="n">
        <v>55</v>
      </c>
      <c r="H691" s="17" t="n">
        <f aca="false">F691*G691</f>
        <v>299.75</v>
      </c>
    </row>
    <row r="692" customFormat="false" ht="15" hidden="false" customHeight="false" outlineLevel="0" collapsed="false">
      <c r="A692" s="15" t="n">
        <v>45959</v>
      </c>
      <c r="B692" s="16" t="str">
        <f aca="false">TEXT(A692,"ddd")</f>
        <v>Wed</v>
      </c>
      <c r="C692" s="16" t="str">
        <f aca="false">TEXT(A692,"mmm")</f>
        <v>Oct</v>
      </c>
      <c r="D692" s="16" t="s">
        <v>32</v>
      </c>
      <c r="E692" s="16" t="str">
        <f aca="false">INDEX(Products!$B$2:$B$9,MATCH(D692,Products!$A$2:$A$9,0))</f>
        <v>Hot Espresso</v>
      </c>
      <c r="F692" s="17" t="n">
        <f aca="false">INDEX(Products!$C$2:$C$9,MATCH(D692,Products!$A$2:$A$9,0))</f>
        <v>3.75</v>
      </c>
      <c r="G692" s="18" t="n">
        <v>29</v>
      </c>
      <c r="H692" s="17" t="n">
        <f aca="false">F692*G692</f>
        <v>108.75</v>
      </c>
    </row>
    <row r="693" customFormat="false" ht="15" hidden="false" customHeight="false" outlineLevel="0" collapsed="false">
      <c r="A693" s="15" t="n">
        <v>45959</v>
      </c>
      <c r="B693" s="16" t="str">
        <f aca="false">TEXT(A693,"ddd")</f>
        <v>Wed</v>
      </c>
      <c r="C693" s="16" t="str">
        <f aca="false">TEXT(A693,"mmm")</f>
        <v>Oct</v>
      </c>
      <c r="D693" s="16" t="s">
        <v>33</v>
      </c>
      <c r="E693" s="16" t="str">
        <f aca="false">INDEX(Products!$B$2:$B$9,MATCH(D693,Products!$A$2:$A$9,0))</f>
        <v>Hot Espresso</v>
      </c>
      <c r="F693" s="17" t="n">
        <f aca="false">INDEX(Products!$C$2:$C$9,MATCH(D693,Products!$A$2:$A$9,0))</f>
        <v>5.25</v>
      </c>
      <c r="G693" s="18" t="n">
        <v>36</v>
      </c>
      <c r="H693" s="17" t="n">
        <f aca="false">F693*G693</f>
        <v>189</v>
      </c>
    </row>
    <row r="694" customFormat="false" ht="15" hidden="false" customHeight="false" outlineLevel="0" collapsed="false">
      <c r="A694" s="15" t="n">
        <v>45959</v>
      </c>
      <c r="B694" s="16" t="str">
        <f aca="false">TEXT(A694,"ddd")</f>
        <v>Wed</v>
      </c>
      <c r="C694" s="16" t="str">
        <f aca="false">TEXT(A694,"mmm")</f>
        <v>Oct</v>
      </c>
      <c r="D694" s="16" t="s">
        <v>34</v>
      </c>
      <c r="E694" s="16" t="str">
        <f aca="false">INDEX(Products!$B$2:$B$9,MATCH(D694,Products!$A$2:$A$9,0))</f>
        <v>Seasonal</v>
      </c>
      <c r="F694" s="17" t="n">
        <f aca="false">INDEX(Products!$C$2:$C$9,MATCH(D694,Products!$A$2:$A$9,0))</f>
        <v>5.75</v>
      </c>
      <c r="G694" s="18" t="n">
        <v>79</v>
      </c>
      <c r="H694" s="17" t="n">
        <f aca="false">F694*G694</f>
        <v>454.25</v>
      </c>
    </row>
    <row r="695" customFormat="false" ht="15" hidden="false" customHeight="false" outlineLevel="0" collapsed="false">
      <c r="A695" s="15" t="n">
        <v>45959</v>
      </c>
      <c r="B695" s="16" t="str">
        <f aca="false">TEXT(A695,"ddd")</f>
        <v>Wed</v>
      </c>
      <c r="C695" s="16" t="str">
        <f aca="false">TEXT(A695,"mmm")</f>
        <v>Oct</v>
      </c>
      <c r="D695" s="16" t="s">
        <v>36</v>
      </c>
      <c r="E695" s="16" t="str">
        <f aca="false">INDEX(Products!$B$2:$B$9,MATCH(D695,Products!$A$2:$A$9,0))</f>
        <v>Cold Drinks</v>
      </c>
      <c r="F695" s="17" t="n">
        <f aca="false">INDEX(Products!$C$2:$C$9,MATCH(D695,Products!$A$2:$A$9,0))</f>
        <v>3.95</v>
      </c>
      <c r="G695" s="18" t="n">
        <v>34</v>
      </c>
      <c r="H695" s="17" t="n">
        <f aca="false">F695*G695</f>
        <v>134.3</v>
      </c>
    </row>
    <row r="696" customFormat="false" ht="15" hidden="false" customHeight="false" outlineLevel="0" collapsed="false">
      <c r="A696" s="15" t="n">
        <v>45959</v>
      </c>
      <c r="B696" s="16" t="str">
        <f aca="false">TEXT(A696,"ddd")</f>
        <v>Wed</v>
      </c>
      <c r="C696" s="16" t="str">
        <f aca="false">TEXT(A696,"mmm")</f>
        <v>Oct</v>
      </c>
      <c r="D696" s="16" t="s">
        <v>38</v>
      </c>
      <c r="E696" s="16" t="str">
        <f aca="false">INDEX(Products!$B$2:$B$9,MATCH(D696,Products!$A$2:$A$9,0))</f>
        <v>Cold Drinks</v>
      </c>
      <c r="F696" s="17" t="n">
        <f aca="false">INDEX(Products!$C$2:$C$9,MATCH(D696,Products!$A$2:$A$9,0))</f>
        <v>4.45</v>
      </c>
      <c r="G696" s="18" t="n">
        <v>32</v>
      </c>
      <c r="H696" s="17" t="n">
        <f aca="false">F696*G696</f>
        <v>142.4</v>
      </c>
    </row>
    <row r="697" customFormat="false" ht="15" hidden="false" customHeight="false" outlineLevel="0" collapsed="false">
      <c r="A697" s="15" t="n">
        <v>45960</v>
      </c>
      <c r="B697" s="16" t="str">
        <f aca="false">TEXT(A697,"ddd")</f>
        <v>Thu</v>
      </c>
      <c r="C697" s="16" t="str">
        <f aca="false">TEXT(A697,"mmm")</f>
        <v>Oct</v>
      </c>
      <c r="D697" s="16" t="s">
        <v>28</v>
      </c>
      <c r="E697" s="16" t="str">
        <f aca="false">INDEX(Products!$B$2:$B$9,MATCH(D697,Products!$A$2:$A$9,0))</f>
        <v>Hot Espresso</v>
      </c>
      <c r="F697" s="17" t="n">
        <f aca="false">INDEX(Products!$C$2:$C$9,MATCH(D697,Products!$A$2:$A$9,0))</f>
        <v>4.95</v>
      </c>
      <c r="G697" s="18" t="n">
        <v>66</v>
      </c>
      <c r="H697" s="17" t="n">
        <f aca="false">F697*G697</f>
        <v>326.7</v>
      </c>
    </row>
    <row r="698" customFormat="false" ht="15" hidden="false" customHeight="false" outlineLevel="0" collapsed="false">
      <c r="A698" s="15" t="n">
        <v>45960</v>
      </c>
      <c r="B698" s="16" t="str">
        <f aca="false">TEXT(A698,"ddd")</f>
        <v>Thu</v>
      </c>
      <c r="C698" s="16" t="str">
        <f aca="false">TEXT(A698,"mmm")</f>
        <v>Oct</v>
      </c>
      <c r="D698" s="16" t="s">
        <v>30</v>
      </c>
      <c r="E698" s="16" t="str">
        <f aca="false">INDEX(Products!$B$2:$B$9,MATCH(D698,Products!$A$2:$A$9,0))</f>
        <v>Hot Espresso</v>
      </c>
      <c r="F698" s="17" t="n">
        <f aca="false">INDEX(Products!$C$2:$C$9,MATCH(D698,Products!$A$2:$A$9,0))</f>
        <v>4.75</v>
      </c>
      <c r="G698" s="18" t="n">
        <v>43</v>
      </c>
      <c r="H698" s="17" t="n">
        <f aca="false">F698*G698</f>
        <v>204.25</v>
      </c>
    </row>
    <row r="699" customFormat="false" ht="15" hidden="false" customHeight="false" outlineLevel="0" collapsed="false">
      <c r="A699" s="15" t="n">
        <v>45960</v>
      </c>
      <c r="B699" s="16" t="str">
        <f aca="false">TEXT(A699,"ddd")</f>
        <v>Thu</v>
      </c>
      <c r="C699" s="16" t="str">
        <f aca="false">TEXT(A699,"mmm")</f>
        <v>Oct</v>
      </c>
      <c r="D699" s="16" t="s">
        <v>31</v>
      </c>
      <c r="E699" s="16" t="str">
        <f aca="false">INDEX(Products!$B$2:$B$9,MATCH(D699,Products!$A$2:$A$9,0))</f>
        <v>Hot Espresso</v>
      </c>
      <c r="F699" s="17" t="n">
        <f aca="false">INDEX(Products!$C$2:$C$9,MATCH(D699,Products!$A$2:$A$9,0))</f>
        <v>5.45</v>
      </c>
      <c r="G699" s="18" t="n">
        <v>41</v>
      </c>
      <c r="H699" s="17" t="n">
        <f aca="false">F699*G699</f>
        <v>223.45</v>
      </c>
    </row>
    <row r="700" customFormat="false" ht="15" hidden="false" customHeight="false" outlineLevel="0" collapsed="false">
      <c r="A700" s="15" t="n">
        <v>45960</v>
      </c>
      <c r="B700" s="16" t="str">
        <f aca="false">TEXT(A700,"ddd")</f>
        <v>Thu</v>
      </c>
      <c r="C700" s="16" t="str">
        <f aca="false">TEXT(A700,"mmm")</f>
        <v>Oct</v>
      </c>
      <c r="D700" s="16" t="s">
        <v>32</v>
      </c>
      <c r="E700" s="16" t="str">
        <f aca="false">INDEX(Products!$B$2:$B$9,MATCH(D700,Products!$A$2:$A$9,0))</f>
        <v>Hot Espresso</v>
      </c>
      <c r="F700" s="17" t="n">
        <f aca="false">INDEX(Products!$C$2:$C$9,MATCH(D700,Products!$A$2:$A$9,0))</f>
        <v>3.75</v>
      </c>
      <c r="G700" s="18" t="n">
        <v>27</v>
      </c>
      <c r="H700" s="17" t="n">
        <f aca="false">F700*G700</f>
        <v>101.25</v>
      </c>
    </row>
    <row r="701" customFormat="false" ht="15" hidden="false" customHeight="false" outlineLevel="0" collapsed="false">
      <c r="A701" s="15" t="n">
        <v>45960</v>
      </c>
      <c r="B701" s="16" t="str">
        <f aca="false">TEXT(A701,"ddd")</f>
        <v>Thu</v>
      </c>
      <c r="C701" s="16" t="str">
        <f aca="false">TEXT(A701,"mmm")</f>
        <v>Oct</v>
      </c>
      <c r="D701" s="16" t="s">
        <v>33</v>
      </c>
      <c r="E701" s="16" t="str">
        <f aca="false">INDEX(Products!$B$2:$B$9,MATCH(D701,Products!$A$2:$A$9,0))</f>
        <v>Hot Espresso</v>
      </c>
      <c r="F701" s="17" t="n">
        <f aca="false">INDEX(Products!$C$2:$C$9,MATCH(D701,Products!$A$2:$A$9,0))</f>
        <v>5.25</v>
      </c>
      <c r="G701" s="18" t="n">
        <v>41</v>
      </c>
      <c r="H701" s="17" t="n">
        <f aca="false">F701*G701</f>
        <v>215.25</v>
      </c>
    </row>
    <row r="702" customFormat="false" ht="15" hidden="false" customHeight="false" outlineLevel="0" collapsed="false">
      <c r="A702" s="15" t="n">
        <v>45960</v>
      </c>
      <c r="B702" s="16" t="str">
        <f aca="false">TEXT(A702,"ddd")</f>
        <v>Thu</v>
      </c>
      <c r="C702" s="16" t="str">
        <f aca="false">TEXT(A702,"mmm")</f>
        <v>Oct</v>
      </c>
      <c r="D702" s="16" t="s">
        <v>34</v>
      </c>
      <c r="E702" s="16" t="str">
        <f aca="false">INDEX(Products!$B$2:$B$9,MATCH(D702,Products!$A$2:$A$9,0))</f>
        <v>Seasonal</v>
      </c>
      <c r="F702" s="17" t="n">
        <f aca="false">INDEX(Products!$C$2:$C$9,MATCH(D702,Products!$A$2:$A$9,0))</f>
        <v>5.75</v>
      </c>
      <c r="G702" s="18" t="n">
        <v>77</v>
      </c>
      <c r="H702" s="17" t="n">
        <f aca="false">F702*G702</f>
        <v>442.75</v>
      </c>
    </row>
    <row r="703" customFormat="false" ht="15" hidden="false" customHeight="false" outlineLevel="0" collapsed="false">
      <c r="A703" s="15" t="n">
        <v>45960</v>
      </c>
      <c r="B703" s="16" t="str">
        <f aca="false">TEXT(A703,"ddd")</f>
        <v>Thu</v>
      </c>
      <c r="C703" s="16" t="str">
        <f aca="false">TEXT(A703,"mmm")</f>
        <v>Oct</v>
      </c>
      <c r="D703" s="16" t="s">
        <v>36</v>
      </c>
      <c r="E703" s="16" t="str">
        <f aca="false">INDEX(Products!$B$2:$B$9,MATCH(D703,Products!$A$2:$A$9,0))</f>
        <v>Cold Drinks</v>
      </c>
      <c r="F703" s="17" t="n">
        <f aca="false">INDEX(Products!$C$2:$C$9,MATCH(D703,Products!$A$2:$A$9,0))</f>
        <v>3.95</v>
      </c>
      <c r="G703" s="18" t="n">
        <v>35</v>
      </c>
      <c r="H703" s="17" t="n">
        <f aca="false">F703*G703</f>
        <v>138.25</v>
      </c>
    </row>
    <row r="704" customFormat="false" ht="15" hidden="false" customHeight="false" outlineLevel="0" collapsed="false">
      <c r="A704" s="15" t="n">
        <v>45960</v>
      </c>
      <c r="B704" s="16" t="str">
        <f aca="false">TEXT(A704,"ddd")</f>
        <v>Thu</v>
      </c>
      <c r="C704" s="16" t="str">
        <f aca="false">TEXT(A704,"mmm")</f>
        <v>Oct</v>
      </c>
      <c r="D704" s="16" t="s">
        <v>38</v>
      </c>
      <c r="E704" s="16" t="str">
        <f aca="false">INDEX(Products!$B$2:$B$9,MATCH(D704,Products!$A$2:$A$9,0))</f>
        <v>Cold Drinks</v>
      </c>
      <c r="F704" s="17" t="n">
        <f aca="false">INDEX(Products!$C$2:$C$9,MATCH(D704,Products!$A$2:$A$9,0))</f>
        <v>4.45</v>
      </c>
      <c r="G704" s="18" t="n">
        <v>32</v>
      </c>
      <c r="H704" s="17" t="n">
        <f aca="false">F704*G704</f>
        <v>142.4</v>
      </c>
    </row>
    <row r="705" customFormat="false" ht="15" hidden="false" customHeight="false" outlineLevel="0" collapsed="false">
      <c r="A705" s="15" t="n">
        <v>45961</v>
      </c>
      <c r="B705" s="16" t="str">
        <f aca="false">TEXT(A705,"ddd")</f>
        <v>Fri</v>
      </c>
      <c r="C705" s="16" t="str">
        <f aca="false">TEXT(A705,"mmm")</f>
        <v>Oct</v>
      </c>
      <c r="D705" s="16" t="s">
        <v>28</v>
      </c>
      <c r="E705" s="16" t="str">
        <f aca="false">INDEX(Products!$B$2:$B$9,MATCH(D705,Products!$A$2:$A$9,0))</f>
        <v>Hot Espresso</v>
      </c>
      <c r="F705" s="17" t="n">
        <f aca="false">INDEX(Products!$C$2:$C$9,MATCH(D705,Products!$A$2:$A$9,0))</f>
        <v>4.95</v>
      </c>
      <c r="G705" s="18" t="n">
        <v>72</v>
      </c>
      <c r="H705" s="17" t="n">
        <f aca="false">F705*G705</f>
        <v>356.4</v>
      </c>
    </row>
    <row r="706" customFormat="false" ht="15" hidden="false" customHeight="false" outlineLevel="0" collapsed="false">
      <c r="A706" s="15" t="n">
        <v>45961</v>
      </c>
      <c r="B706" s="16" t="str">
        <f aca="false">TEXT(A706,"ddd")</f>
        <v>Fri</v>
      </c>
      <c r="C706" s="16" t="str">
        <f aca="false">TEXT(A706,"mmm")</f>
        <v>Oct</v>
      </c>
      <c r="D706" s="16" t="s">
        <v>30</v>
      </c>
      <c r="E706" s="16" t="str">
        <f aca="false">INDEX(Products!$B$2:$B$9,MATCH(D706,Products!$A$2:$A$9,0))</f>
        <v>Hot Espresso</v>
      </c>
      <c r="F706" s="17" t="n">
        <f aca="false">INDEX(Products!$C$2:$C$9,MATCH(D706,Products!$A$2:$A$9,0))</f>
        <v>4.75</v>
      </c>
      <c r="G706" s="18" t="n">
        <v>50</v>
      </c>
      <c r="H706" s="17" t="n">
        <f aca="false">F706*G706</f>
        <v>237.5</v>
      </c>
    </row>
    <row r="707" customFormat="false" ht="15" hidden="false" customHeight="false" outlineLevel="0" collapsed="false">
      <c r="A707" s="15" t="n">
        <v>45961</v>
      </c>
      <c r="B707" s="16" t="str">
        <f aca="false">TEXT(A707,"ddd")</f>
        <v>Fri</v>
      </c>
      <c r="C707" s="16" t="str">
        <f aca="false">TEXT(A707,"mmm")</f>
        <v>Oct</v>
      </c>
      <c r="D707" s="16" t="s">
        <v>31</v>
      </c>
      <c r="E707" s="16" t="str">
        <f aca="false">INDEX(Products!$B$2:$B$9,MATCH(D707,Products!$A$2:$A$9,0))</f>
        <v>Hot Espresso</v>
      </c>
      <c r="F707" s="17" t="n">
        <f aca="false">INDEX(Products!$C$2:$C$9,MATCH(D707,Products!$A$2:$A$9,0))</f>
        <v>5.45</v>
      </c>
      <c r="G707" s="18" t="n">
        <v>52</v>
      </c>
      <c r="H707" s="17" t="n">
        <f aca="false">F707*G707</f>
        <v>283.4</v>
      </c>
    </row>
    <row r="708" customFormat="false" ht="15" hidden="false" customHeight="false" outlineLevel="0" collapsed="false">
      <c r="A708" s="15" t="n">
        <v>45961</v>
      </c>
      <c r="B708" s="16" t="str">
        <f aca="false">TEXT(A708,"ddd")</f>
        <v>Fri</v>
      </c>
      <c r="C708" s="16" t="str">
        <f aca="false">TEXT(A708,"mmm")</f>
        <v>Oct</v>
      </c>
      <c r="D708" s="16" t="s">
        <v>32</v>
      </c>
      <c r="E708" s="16" t="str">
        <f aca="false">INDEX(Products!$B$2:$B$9,MATCH(D708,Products!$A$2:$A$9,0))</f>
        <v>Hot Espresso</v>
      </c>
      <c r="F708" s="17" t="n">
        <f aca="false">INDEX(Products!$C$2:$C$9,MATCH(D708,Products!$A$2:$A$9,0))</f>
        <v>3.75</v>
      </c>
      <c r="G708" s="18" t="n">
        <v>30</v>
      </c>
      <c r="H708" s="17" t="n">
        <f aca="false">F708*G708</f>
        <v>112.5</v>
      </c>
    </row>
    <row r="709" customFormat="false" ht="15" hidden="false" customHeight="false" outlineLevel="0" collapsed="false">
      <c r="A709" s="15" t="n">
        <v>45961</v>
      </c>
      <c r="B709" s="16" t="str">
        <f aca="false">TEXT(A709,"ddd")</f>
        <v>Fri</v>
      </c>
      <c r="C709" s="16" t="str">
        <f aca="false">TEXT(A709,"mmm")</f>
        <v>Oct</v>
      </c>
      <c r="D709" s="16" t="s">
        <v>33</v>
      </c>
      <c r="E709" s="16" t="str">
        <f aca="false">INDEX(Products!$B$2:$B$9,MATCH(D709,Products!$A$2:$A$9,0))</f>
        <v>Hot Espresso</v>
      </c>
      <c r="F709" s="17" t="n">
        <f aca="false">INDEX(Products!$C$2:$C$9,MATCH(D709,Products!$A$2:$A$9,0))</f>
        <v>5.25</v>
      </c>
      <c r="G709" s="18" t="n">
        <v>35</v>
      </c>
      <c r="H709" s="17" t="n">
        <f aca="false">F709*G709</f>
        <v>183.75</v>
      </c>
    </row>
    <row r="710" customFormat="false" ht="15" hidden="false" customHeight="false" outlineLevel="0" collapsed="false">
      <c r="A710" s="15" t="n">
        <v>45961</v>
      </c>
      <c r="B710" s="16" t="str">
        <f aca="false">TEXT(A710,"ddd")</f>
        <v>Fri</v>
      </c>
      <c r="C710" s="16" t="str">
        <f aca="false">TEXT(A710,"mmm")</f>
        <v>Oct</v>
      </c>
      <c r="D710" s="16" t="s">
        <v>34</v>
      </c>
      <c r="E710" s="16" t="str">
        <f aca="false">INDEX(Products!$B$2:$B$9,MATCH(D710,Products!$A$2:$A$9,0))</f>
        <v>Seasonal</v>
      </c>
      <c r="F710" s="17" t="n">
        <f aca="false">INDEX(Products!$C$2:$C$9,MATCH(D710,Products!$A$2:$A$9,0))</f>
        <v>5.75</v>
      </c>
      <c r="G710" s="18" t="n">
        <v>85</v>
      </c>
      <c r="H710" s="17" t="n">
        <f aca="false">F710*G710</f>
        <v>488.75</v>
      </c>
    </row>
    <row r="711" customFormat="false" ht="15" hidden="false" customHeight="false" outlineLevel="0" collapsed="false">
      <c r="A711" s="15" t="n">
        <v>45961</v>
      </c>
      <c r="B711" s="16" t="str">
        <f aca="false">TEXT(A711,"ddd")</f>
        <v>Fri</v>
      </c>
      <c r="C711" s="16" t="str">
        <f aca="false">TEXT(A711,"mmm")</f>
        <v>Oct</v>
      </c>
      <c r="D711" s="16" t="s">
        <v>36</v>
      </c>
      <c r="E711" s="16" t="str">
        <f aca="false">INDEX(Products!$B$2:$B$9,MATCH(D711,Products!$A$2:$A$9,0))</f>
        <v>Cold Drinks</v>
      </c>
      <c r="F711" s="17" t="n">
        <f aca="false">INDEX(Products!$C$2:$C$9,MATCH(D711,Products!$A$2:$A$9,0))</f>
        <v>3.95</v>
      </c>
      <c r="G711" s="18" t="n">
        <v>42</v>
      </c>
      <c r="H711" s="17" t="n">
        <f aca="false">F711*G711</f>
        <v>165.9</v>
      </c>
    </row>
    <row r="712" customFormat="false" ht="15" hidden="false" customHeight="false" outlineLevel="0" collapsed="false">
      <c r="A712" s="15" t="n">
        <v>45961</v>
      </c>
      <c r="B712" s="16" t="str">
        <f aca="false">TEXT(A712,"ddd")</f>
        <v>Fri</v>
      </c>
      <c r="C712" s="16" t="str">
        <f aca="false">TEXT(A712,"mmm")</f>
        <v>Oct</v>
      </c>
      <c r="D712" s="16" t="s">
        <v>38</v>
      </c>
      <c r="E712" s="16" t="str">
        <f aca="false">INDEX(Products!$B$2:$B$9,MATCH(D712,Products!$A$2:$A$9,0))</f>
        <v>Cold Drinks</v>
      </c>
      <c r="F712" s="17" t="n">
        <f aca="false">INDEX(Products!$C$2:$C$9,MATCH(D712,Products!$A$2:$A$9,0))</f>
        <v>4.45</v>
      </c>
      <c r="G712" s="18" t="n">
        <v>29</v>
      </c>
      <c r="H712" s="17" t="n">
        <f aca="false">F712*G712</f>
        <v>129.05</v>
      </c>
    </row>
  </sheetData>
  <autoFilter ref="A1:H7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9"/>
  </cols>
  <sheetData>
    <row r="1" customFormat="false" ht="15" hidden="false" customHeight="false" outlineLevel="0" collapsed="false">
      <c r="A1" s="13" t="s">
        <v>40</v>
      </c>
      <c r="B1" s="13" t="s">
        <v>41</v>
      </c>
      <c r="C1" s="13" t="s">
        <v>45</v>
      </c>
      <c r="D1" s="13" t="s">
        <v>46</v>
      </c>
      <c r="E1" s="13" t="s">
        <v>42</v>
      </c>
    </row>
    <row r="2" customFormat="false" ht="15" hidden="false" customHeight="false" outlineLevel="0" collapsed="false">
      <c r="A2" s="15" t="n">
        <v>45870</v>
      </c>
      <c r="B2" s="16" t="str">
        <f aca="false">TEXT(A2,"ddd")</f>
        <v>Fri</v>
      </c>
      <c r="C2" s="19" t="n">
        <f aca="false">SUMIFS('Sales Data'!$H$2:$H$712,'Sales Data'!$A$2:$A$712,A2)</f>
        <v>1471.4</v>
      </c>
      <c r="D2" s="20" t="n">
        <f aca="false">SUMIFS('Sales Data'!$G$2:$G$712,'Sales Data'!$A$2:$A$712,A2)</f>
        <v>320</v>
      </c>
      <c r="E2" s="16" t="str">
        <f aca="false">TEXT(A2,"mmm")</f>
        <v>Aug</v>
      </c>
    </row>
    <row r="3" customFormat="false" ht="15" hidden="false" customHeight="false" outlineLevel="0" collapsed="false">
      <c r="A3" s="15" t="n">
        <v>45871</v>
      </c>
      <c r="B3" s="16" t="str">
        <f aca="false">TEXT(A3,"ddd")</f>
        <v>Sat</v>
      </c>
      <c r="C3" s="19" t="n">
        <f aca="false">SUMIFS('Sales Data'!$H$2:$H$712,'Sales Data'!$A$2:$A$712,A3)</f>
        <v>1806.8</v>
      </c>
      <c r="D3" s="20" t="n">
        <f aca="false">SUMIFS('Sales Data'!$G$2:$G$712,'Sales Data'!$A$2:$A$712,A3)</f>
        <v>394</v>
      </c>
      <c r="E3" s="16" t="str">
        <f aca="false">TEXT(A3,"mmm")</f>
        <v>Aug</v>
      </c>
    </row>
    <row r="4" customFormat="false" ht="15" hidden="false" customHeight="false" outlineLevel="0" collapsed="false">
      <c r="A4" s="15" t="n">
        <v>45872</v>
      </c>
      <c r="B4" s="16" t="str">
        <f aca="false">TEXT(A4,"ddd")</f>
        <v>Sun</v>
      </c>
      <c r="C4" s="19" t="n">
        <f aca="false">SUMIFS('Sales Data'!$H$2:$H$712,'Sales Data'!$A$2:$A$712,A4)</f>
        <v>1641</v>
      </c>
      <c r="D4" s="20" t="n">
        <f aca="false">SUMIFS('Sales Data'!$G$2:$G$712,'Sales Data'!$A$2:$A$712,A4)</f>
        <v>358</v>
      </c>
      <c r="E4" s="16" t="str">
        <f aca="false">TEXT(A4,"mmm")</f>
        <v>Aug</v>
      </c>
    </row>
    <row r="5" customFormat="false" ht="15" hidden="false" customHeight="false" outlineLevel="0" collapsed="false">
      <c r="A5" s="15" t="n">
        <v>45873</v>
      </c>
      <c r="B5" s="16" t="str">
        <f aca="false">TEXT(A5,"ddd")</f>
        <v>Mon</v>
      </c>
      <c r="C5" s="19" t="n">
        <f aca="false">SUMIFS('Sales Data'!$H$2:$H$712,'Sales Data'!$A$2:$A$712,A5)</f>
        <v>1492.6</v>
      </c>
      <c r="D5" s="20" t="n">
        <f aca="false">SUMIFS('Sales Data'!$G$2:$G$712,'Sales Data'!$A$2:$A$712,A5)</f>
        <v>326</v>
      </c>
      <c r="E5" s="16" t="str">
        <f aca="false">TEXT(A5,"mmm")</f>
        <v>Aug</v>
      </c>
    </row>
    <row r="6" customFormat="false" ht="15" hidden="false" customHeight="false" outlineLevel="0" collapsed="false">
      <c r="A6" s="15" t="n">
        <v>45874</v>
      </c>
      <c r="B6" s="16" t="str">
        <f aca="false">TEXT(A6,"ddd")</f>
        <v>Tue</v>
      </c>
      <c r="C6" s="19" t="n">
        <f aca="false">SUMIFS('Sales Data'!$H$2:$H$712,'Sales Data'!$A$2:$A$712,A6)</f>
        <v>1433.15</v>
      </c>
      <c r="D6" s="20" t="n">
        <f aca="false">SUMIFS('Sales Data'!$G$2:$G$712,'Sales Data'!$A$2:$A$712,A6)</f>
        <v>311</v>
      </c>
      <c r="E6" s="16" t="str">
        <f aca="false">TEXT(A6,"mmm")</f>
        <v>Aug</v>
      </c>
    </row>
    <row r="7" customFormat="false" ht="15" hidden="false" customHeight="false" outlineLevel="0" collapsed="false">
      <c r="A7" s="15" t="n">
        <v>45875</v>
      </c>
      <c r="B7" s="16" t="str">
        <f aca="false">TEXT(A7,"ddd")</f>
        <v>Wed</v>
      </c>
      <c r="C7" s="19" t="n">
        <f aca="false">SUMIFS('Sales Data'!$H$2:$H$712,'Sales Data'!$A$2:$A$712,A7)</f>
        <v>1504.4</v>
      </c>
      <c r="D7" s="20" t="n">
        <f aca="false">SUMIFS('Sales Data'!$G$2:$G$712,'Sales Data'!$A$2:$A$712,A7)</f>
        <v>328</v>
      </c>
      <c r="E7" s="16" t="str">
        <f aca="false">TEXT(A7,"mmm")</f>
        <v>Aug</v>
      </c>
    </row>
    <row r="8" customFormat="false" ht="15" hidden="false" customHeight="false" outlineLevel="0" collapsed="false">
      <c r="A8" s="15" t="n">
        <v>45876</v>
      </c>
      <c r="B8" s="16" t="str">
        <f aca="false">TEXT(A8,"ddd")</f>
        <v>Thu</v>
      </c>
      <c r="C8" s="19" t="n">
        <f aca="false">SUMIFS('Sales Data'!$H$2:$H$712,'Sales Data'!$A$2:$A$712,A8)</f>
        <v>1546.9</v>
      </c>
      <c r="D8" s="20" t="n">
        <f aca="false">SUMIFS('Sales Data'!$G$2:$G$712,'Sales Data'!$A$2:$A$712,A8)</f>
        <v>336</v>
      </c>
      <c r="E8" s="16" t="str">
        <f aca="false">TEXT(A8,"mmm")</f>
        <v>Aug</v>
      </c>
    </row>
    <row r="9" customFormat="false" ht="15" hidden="false" customHeight="false" outlineLevel="0" collapsed="false">
      <c r="A9" s="15" t="n">
        <v>45877</v>
      </c>
      <c r="B9" s="16" t="str">
        <f aca="false">TEXT(A9,"ddd")</f>
        <v>Fri</v>
      </c>
      <c r="C9" s="19" t="n">
        <f aca="false">SUMIFS('Sales Data'!$H$2:$H$712,'Sales Data'!$A$2:$A$712,A9)</f>
        <v>1466.45</v>
      </c>
      <c r="D9" s="20" t="n">
        <f aca="false">SUMIFS('Sales Data'!$G$2:$G$712,'Sales Data'!$A$2:$A$712,A9)</f>
        <v>317</v>
      </c>
      <c r="E9" s="16" t="str">
        <f aca="false">TEXT(A9,"mmm")</f>
        <v>Aug</v>
      </c>
    </row>
    <row r="10" customFormat="false" ht="15" hidden="false" customHeight="false" outlineLevel="0" collapsed="false">
      <c r="A10" s="15" t="n">
        <v>45878</v>
      </c>
      <c r="B10" s="16" t="str">
        <f aca="false">TEXT(A10,"ddd")</f>
        <v>Sat</v>
      </c>
      <c r="C10" s="19" t="n">
        <f aca="false">SUMIFS('Sales Data'!$H$2:$H$712,'Sales Data'!$A$2:$A$712,A10)</f>
        <v>1832.95</v>
      </c>
      <c r="D10" s="20" t="n">
        <f aca="false">SUMIFS('Sales Data'!$G$2:$G$712,'Sales Data'!$A$2:$A$712,A10)</f>
        <v>397</v>
      </c>
      <c r="E10" s="16" t="str">
        <f aca="false">TEXT(A10,"mmm")</f>
        <v>Aug</v>
      </c>
    </row>
    <row r="11" customFormat="false" ht="15" hidden="false" customHeight="false" outlineLevel="0" collapsed="false">
      <c r="A11" s="15" t="n">
        <v>45879</v>
      </c>
      <c r="B11" s="16" t="str">
        <f aca="false">TEXT(A11,"ddd")</f>
        <v>Sun</v>
      </c>
      <c r="C11" s="19" t="n">
        <f aca="false">SUMIFS('Sales Data'!$H$2:$H$712,'Sales Data'!$A$2:$A$712,A11)</f>
        <v>1640.35</v>
      </c>
      <c r="D11" s="20" t="n">
        <f aca="false">SUMIFS('Sales Data'!$G$2:$G$712,'Sales Data'!$A$2:$A$712,A11)</f>
        <v>357</v>
      </c>
      <c r="E11" s="16" t="str">
        <f aca="false">TEXT(A11,"mmm")</f>
        <v>Aug</v>
      </c>
    </row>
    <row r="12" customFormat="false" ht="15" hidden="false" customHeight="false" outlineLevel="0" collapsed="false">
      <c r="A12" s="15" t="n">
        <v>45880</v>
      </c>
      <c r="B12" s="16" t="str">
        <f aca="false">TEXT(A12,"ddd")</f>
        <v>Mon</v>
      </c>
      <c r="C12" s="19" t="n">
        <f aca="false">SUMIFS('Sales Data'!$H$2:$H$712,'Sales Data'!$A$2:$A$712,A12)</f>
        <v>1553.7</v>
      </c>
      <c r="D12" s="20" t="n">
        <f aca="false">SUMIFS('Sales Data'!$G$2:$G$712,'Sales Data'!$A$2:$A$712,A12)</f>
        <v>336</v>
      </c>
      <c r="E12" s="16" t="str">
        <f aca="false">TEXT(A12,"mmm")</f>
        <v>Aug</v>
      </c>
    </row>
    <row r="13" customFormat="false" ht="15" hidden="false" customHeight="false" outlineLevel="0" collapsed="false">
      <c r="A13" s="15" t="n">
        <v>45881</v>
      </c>
      <c r="B13" s="16" t="str">
        <f aca="false">TEXT(A13,"ddd")</f>
        <v>Tue</v>
      </c>
      <c r="C13" s="19" t="n">
        <f aca="false">SUMIFS('Sales Data'!$H$2:$H$712,'Sales Data'!$A$2:$A$712,A13)</f>
        <v>1432.85</v>
      </c>
      <c r="D13" s="20" t="n">
        <f aca="false">SUMIFS('Sales Data'!$G$2:$G$712,'Sales Data'!$A$2:$A$712,A13)</f>
        <v>309</v>
      </c>
      <c r="E13" s="16" t="str">
        <f aca="false">TEXT(A13,"mmm")</f>
        <v>Aug</v>
      </c>
    </row>
    <row r="14" customFormat="false" ht="15" hidden="false" customHeight="false" outlineLevel="0" collapsed="false">
      <c r="A14" s="15" t="n">
        <v>45882</v>
      </c>
      <c r="B14" s="16" t="str">
        <f aca="false">TEXT(A14,"ddd")</f>
        <v>Wed</v>
      </c>
      <c r="C14" s="19" t="n">
        <f aca="false">SUMIFS('Sales Data'!$H$2:$H$712,'Sales Data'!$A$2:$A$712,A14)</f>
        <v>1545.85</v>
      </c>
      <c r="D14" s="20" t="n">
        <f aca="false">SUMIFS('Sales Data'!$G$2:$G$712,'Sales Data'!$A$2:$A$712,A14)</f>
        <v>335</v>
      </c>
      <c r="E14" s="16" t="str">
        <f aca="false">TEXT(A14,"mmm")</f>
        <v>Aug</v>
      </c>
    </row>
    <row r="15" customFormat="false" ht="15" hidden="false" customHeight="false" outlineLevel="0" collapsed="false">
      <c r="A15" s="15" t="n">
        <v>45883</v>
      </c>
      <c r="B15" s="16" t="str">
        <f aca="false">TEXT(A15,"ddd")</f>
        <v>Thu</v>
      </c>
      <c r="C15" s="19" t="n">
        <f aca="false">SUMIFS('Sales Data'!$H$2:$H$712,'Sales Data'!$A$2:$A$712,A15)</f>
        <v>1552</v>
      </c>
      <c r="D15" s="20" t="n">
        <f aca="false">SUMIFS('Sales Data'!$G$2:$G$712,'Sales Data'!$A$2:$A$712,A15)</f>
        <v>338</v>
      </c>
      <c r="E15" s="16" t="str">
        <f aca="false">TEXT(A15,"mmm")</f>
        <v>Aug</v>
      </c>
    </row>
    <row r="16" customFormat="false" ht="15" hidden="false" customHeight="false" outlineLevel="0" collapsed="false">
      <c r="A16" s="15" t="n">
        <v>45884</v>
      </c>
      <c r="B16" s="16" t="str">
        <f aca="false">TEXT(A16,"ddd")</f>
        <v>Fri</v>
      </c>
      <c r="C16" s="19" t="n">
        <f aca="false">SUMIFS('Sales Data'!$H$2:$H$712,'Sales Data'!$A$2:$A$712,A16)</f>
        <v>1537.55</v>
      </c>
      <c r="D16" s="20" t="n">
        <f aca="false">SUMIFS('Sales Data'!$G$2:$G$712,'Sales Data'!$A$2:$A$712,A16)</f>
        <v>331</v>
      </c>
      <c r="E16" s="16" t="str">
        <f aca="false">TEXT(A16,"mmm")</f>
        <v>Aug</v>
      </c>
    </row>
    <row r="17" customFormat="false" ht="15" hidden="false" customHeight="false" outlineLevel="0" collapsed="false">
      <c r="A17" s="15" t="n">
        <v>45885</v>
      </c>
      <c r="B17" s="16" t="str">
        <f aca="false">TEXT(A17,"ddd")</f>
        <v>Sat</v>
      </c>
      <c r="C17" s="19" t="n">
        <f aca="false">SUMIFS('Sales Data'!$H$2:$H$712,'Sales Data'!$A$2:$A$712,A17)</f>
        <v>1827.2</v>
      </c>
      <c r="D17" s="20" t="n">
        <f aca="false">SUMIFS('Sales Data'!$G$2:$G$712,'Sales Data'!$A$2:$A$712,A17)</f>
        <v>394</v>
      </c>
      <c r="E17" s="16" t="str">
        <f aca="false">TEXT(A17,"mmm")</f>
        <v>Aug</v>
      </c>
    </row>
    <row r="18" customFormat="false" ht="15" hidden="false" customHeight="false" outlineLevel="0" collapsed="false">
      <c r="A18" s="15" t="n">
        <v>45886</v>
      </c>
      <c r="B18" s="16" t="str">
        <f aca="false">TEXT(A18,"ddd")</f>
        <v>Sun</v>
      </c>
      <c r="C18" s="19" t="n">
        <f aca="false">SUMIFS('Sales Data'!$H$2:$H$712,'Sales Data'!$A$2:$A$712,A18)</f>
        <v>1675.65</v>
      </c>
      <c r="D18" s="20" t="n">
        <f aca="false">SUMIFS('Sales Data'!$G$2:$G$712,'Sales Data'!$A$2:$A$712,A18)</f>
        <v>363</v>
      </c>
      <c r="E18" s="16" t="str">
        <f aca="false">TEXT(A18,"mmm")</f>
        <v>Aug</v>
      </c>
    </row>
    <row r="19" customFormat="false" ht="15" hidden="false" customHeight="false" outlineLevel="0" collapsed="false">
      <c r="A19" s="15" t="n">
        <v>45887</v>
      </c>
      <c r="B19" s="16" t="str">
        <f aca="false">TEXT(A19,"ddd")</f>
        <v>Mon</v>
      </c>
      <c r="C19" s="19" t="n">
        <f aca="false">SUMIFS('Sales Data'!$H$2:$H$712,'Sales Data'!$A$2:$A$712,A19)</f>
        <v>1472.05</v>
      </c>
      <c r="D19" s="20" t="n">
        <f aca="false">SUMIFS('Sales Data'!$G$2:$G$712,'Sales Data'!$A$2:$A$712,A19)</f>
        <v>321</v>
      </c>
      <c r="E19" s="16" t="str">
        <f aca="false">TEXT(A19,"mmm")</f>
        <v>Aug</v>
      </c>
    </row>
    <row r="20" customFormat="false" ht="15" hidden="false" customHeight="false" outlineLevel="0" collapsed="false">
      <c r="A20" s="15" t="n">
        <v>45888</v>
      </c>
      <c r="B20" s="16" t="str">
        <f aca="false">TEXT(A20,"ddd")</f>
        <v>Tue</v>
      </c>
      <c r="C20" s="19" t="n">
        <f aca="false">SUMIFS('Sales Data'!$H$2:$H$712,'Sales Data'!$A$2:$A$712,A20)</f>
        <v>1605.3</v>
      </c>
      <c r="D20" s="20" t="n">
        <f aca="false">SUMIFS('Sales Data'!$G$2:$G$712,'Sales Data'!$A$2:$A$712,A20)</f>
        <v>346</v>
      </c>
      <c r="E20" s="16" t="str">
        <f aca="false">TEXT(A20,"mmm")</f>
        <v>Aug</v>
      </c>
    </row>
    <row r="21" customFormat="false" ht="15" hidden="false" customHeight="false" outlineLevel="0" collapsed="false">
      <c r="A21" s="15" t="n">
        <v>45889</v>
      </c>
      <c r="B21" s="16" t="str">
        <f aca="false">TEXT(A21,"ddd")</f>
        <v>Wed</v>
      </c>
      <c r="C21" s="19" t="n">
        <f aca="false">SUMIFS('Sales Data'!$H$2:$H$712,'Sales Data'!$A$2:$A$712,A21)</f>
        <v>1508.15</v>
      </c>
      <c r="D21" s="20" t="n">
        <f aca="false">SUMIFS('Sales Data'!$G$2:$G$712,'Sales Data'!$A$2:$A$712,A21)</f>
        <v>327</v>
      </c>
      <c r="E21" s="16" t="str">
        <f aca="false">TEXT(A21,"mmm")</f>
        <v>Aug</v>
      </c>
    </row>
    <row r="22" customFormat="false" ht="15" hidden="false" customHeight="false" outlineLevel="0" collapsed="false">
      <c r="A22" s="15" t="n">
        <v>45890</v>
      </c>
      <c r="B22" s="16" t="str">
        <f aca="false">TEXT(A22,"ddd")</f>
        <v>Thu</v>
      </c>
      <c r="C22" s="19" t="n">
        <f aca="false">SUMIFS('Sales Data'!$H$2:$H$712,'Sales Data'!$A$2:$A$712,A22)</f>
        <v>1457.35</v>
      </c>
      <c r="D22" s="20" t="n">
        <f aca="false">SUMIFS('Sales Data'!$G$2:$G$712,'Sales Data'!$A$2:$A$712,A22)</f>
        <v>317</v>
      </c>
      <c r="E22" s="16" t="str">
        <f aca="false">TEXT(A22,"mmm")</f>
        <v>Aug</v>
      </c>
    </row>
    <row r="23" customFormat="false" ht="15" hidden="false" customHeight="false" outlineLevel="0" collapsed="false">
      <c r="A23" s="15" t="n">
        <v>45891</v>
      </c>
      <c r="B23" s="16" t="str">
        <f aca="false">TEXT(A23,"ddd")</f>
        <v>Fri</v>
      </c>
      <c r="C23" s="19" t="n">
        <f aca="false">SUMIFS('Sales Data'!$H$2:$H$712,'Sales Data'!$A$2:$A$712,A23)</f>
        <v>1500.5</v>
      </c>
      <c r="D23" s="20" t="n">
        <f aca="false">SUMIFS('Sales Data'!$G$2:$G$712,'Sales Data'!$A$2:$A$712,A23)</f>
        <v>324</v>
      </c>
      <c r="E23" s="16" t="str">
        <f aca="false">TEXT(A23,"mmm")</f>
        <v>Aug</v>
      </c>
    </row>
    <row r="24" customFormat="false" ht="15" hidden="false" customHeight="false" outlineLevel="0" collapsed="false">
      <c r="A24" s="15" t="n">
        <v>45892</v>
      </c>
      <c r="B24" s="16" t="str">
        <f aca="false">TEXT(A24,"ddd")</f>
        <v>Sat</v>
      </c>
      <c r="C24" s="19" t="n">
        <f aca="false">SUMIFS('Sales Data'!$H$2:$H$712,'Sales Data'!$A$2:$A$712,A24)</f>
        <v>1836.85</v>
      </c>
      <c r="D24" s="20" t="n">
        <f aca="false">SUMIFS('Sales Data'!$G$2:$G$712,'Sales Data'!$A$2:$A$712,A24)</f>
        <v>399</v>
      </c>
      <c r="E24" s="16" t="str">
        <f aca="false">TEXT(A24,"mmm")</f>
        <v>Aug</v>
      </c>
    </row>
    <row r="25" customFormat="false" ht="15" hidden="false" customHeight="false" outlineLevel="0" collapsed="false">
      <c r="A25" s="15" t="n">
        <v>45893</v>
      </c>
      <c r="B25" s="16" t="str">
        <f aca="false">TEXT(A25,"ddd")</f>
        <v>Sun</v>
      </c>
      <c r="C25" s="19" t="n">
        <f aca="false">SUMIFS('Sales Data'!$H$2:$H$712,'Sales Data'!$A$2:$A$712,A25)</f>
        <v>1749.05</v>
      </c>
      <c r="D25" s="20" t="n">
        <f aca="false">SUMIFS('Sales Data'!$G$2:$G$712,'Sales Data'!$A$2:$A$712,A25)</f>
        <v>377</v>
      </c>
      <c r="E25" s="16" t="str">
        <f aca="false">TEXT(A25,"mmm")</f>
        <v>Aug</v>
      </c>
    </row>
    <row r="26" customFormat="false" ht="15" hidden="false" customHeight="false" outlineLevel="0" collapsed="false">
      <c r="A26" s="15" t="n">
        <v>45894</v>
      </c>
      <c r="B26" s="16" t="str">
        <f aca="false">TEXT(A26,"ddd")</f>
        <v>Mon</v>
      </c>
      <c r="C26" s="19" t="n">
        <f aca="false">SUMIFS('Sales Data'!$H$2:$H$712,'Sales Data'!$A$2:$A$712,A26)</f>
        <v>1518.2</v>
      </c>
      <c r="D26" s="20" t="n">
        <f aca="false">SUMIFS('Sales Data'!$G$2:$G$712,'Sales Data'!$A$2:$A$712,A26)</f>
        <v>328</v>
      </c>
      <c r="E26" s="16" t="str">
        <f aca="false">TEXT(A26,"mmm")</f>
        <v>Aug</v>
      </c>
    </row>
    <row r="27" customFormat="false" ht="15" hidden="false" customHeight="false" outlineLevel="0" collapsed="false">
      <c r="A27" s="15" t="n">
        <v>45895</v>
      </c>
      <c r="B27" s="16" t="str">
        <f aca="false">TEXT(A27,"ddd")</f>
        <v>Tue</v>
      </c>
      <c r="C27" s="19" t="n">
        <f aca="false">SUMIFS('Sales Data'!$H$2:$H$712,'Sales Data'!$A$2:$A$712,A27)</f>
        <v>1485.45</v>
      </c>
      <c r="D27" s="20" t="n">
        <f aca="false">SUMIFS('Sales Data'!$G$2:$G$712,'Sales Data'!$A$2:$A$712,A27)</f>
        <v>319</v>
      </c>
      <c r="E27" s="16" t="str">
        <f aca="false">TEXT(A27,"mmm")</f>
        <v>Aug</v>
      </c>
    </row>
    <row r="28" customFormat="false" ht="15" hidden="false" customHeight="false" outlineLevel="0" collapsed="false">
      <c r="A28" s="15" t="n">
        <v>45896</v>
      </c>
      <c r="B28" s="16" t="str">
        <f aca="false">TEXT(A28,"ddd")</f>
        <v>Wed</v>
      </c>
      <c r="C28" s="19" t="n">
        <f aca="false">SUMIFS('Sales Data'!$H$2:$H$712,'Sales Data'!$A$2:$A$712,A28)</f>
        <v>1536.65</v>
      </c>
      <c r="D28" s="20" t="n">
        <f aca="false">SUMIFS('Sales Data'!$G$2:$G$712,'Sales Data'!$A$2:$A$712,A28)</f>
        <v>331</v>
      </c>
      <c r="E28" s="16" t="str">
        <f aca="false">TEXT(A28,"mmm")</f>
        <v>Aug</v>
      </c>
    </row>
    <row r="29" customFormat="false" ht="15" hidden="false" customHeight="false" outlineLevel="0" collapsed="false">
      <c r="A29" s="15" t="n">
        <v>45897</v>
      </c>
      <c r="B29" s="16" t="str">
        <f aca="false">TEXT(A29,"ddd")</f>
        <v>Thu</v>
      </c>
      <c r="C29" s="19" t="n">
        <f aca="false">SUMIFS('Sales Data'!$H$2:$H$712,'Sales Data'!$A$2:$A$712,A29)</f>
        <v>1651.55</v>
      </c>
      <c r="D29" s="20" t="n">
        <f aca="false">SUMIFS('Sales Data'!$G$2:$G$712,'Sales Data'!$A$2:$A$712,A29)</f>
        <v>351</v>
      </c>
      <c r="E29" s="16" t="str">
        <f aca="false">TEXT(A29,"mmm")</f>
        <v>Aug</v>
      </c>
    </row>
    <row r="30" customFormat="false" ht="15" hidden="false" customHeight="false" outlineLevel="0" collapsed="false">
      <c r="A30" s="15" t="n">
        <v>45898</v>
      </c>
      <c r="B30" s="16" t="str">
        <f aca="false">TEXT(A30,"ddd")</f>
        <v>Fri</v>
      </c>
      <c r="C30" s="19" t="n">
        <f aca="false">SUMIFS('Sales Data'!$H$2:$H$712,'Sales Data'!$A$2:$A$712,A30)</f>
        <v>1632.8</v>
      </c>
      <c r="D30" s="20" t="n">
        <f aca="false">SUMIFS('Sales Data'!$G$2:$G$712,'Sales Data'!$A$2:$A$712,A30)</f>
        <v>348</v>
      </c>
      <c r="E30" s="16" t="str">
        <f aca="false">TEXT(A30,"mmm")</f>
        <v>Aug</v>
      </c>
    </row>
    <row r="31" customFormat="false" ht="15" hidden="false" customHeight="false" outlineLevel="0" collapsed="false">
      <c r="A31" s="15" t="n">
        <v>45899</v>
      </c>
      <c r="B31" s="16" t="str">
        <f aca="false">TEXT(A31,"ddd")</f>
        <v>Sat</v>
      </c>
      <c r="C31" s="19" t="n">
        <f aca="false">SUMIFS('Sales Data'!$H$2:$H$712,'Sales Data'!$A$2:$A$712,A31)</f>
        <v>2037.25</v>
      </c>
      <c r="D31" s="20" t="n">
        <f aca="false">SUMIFS('Sales Data'!$G$2:$G$712,'Sales Data'!$A$2:$A$712,A31)</f>
        <v>431</v>
      </c>
      <c r="E31" s="16" t="str">
        <f aca="false">TEXT(A31,"mmm")</f>
        <v>Aug</v>
      </c>
    </row>
    <row r="32" customFormat="false" ht="15" hidden="false" customHeight="false" outlineLevel="0" collapsed="false">
      <c r="A32" s="15" t="n">
        <v>45900</v>
      </c>
      <c r="B32" s="16" t="str">
        <f aca="false">TEXT(A32,"ddd")</f>
        <v>Sun</v>
      </c>
      <c r="C32" s="19" t="n">
        <f aca="false">SUMIFS('Sales Data'!$H$2:$H$712,'Sales Data'!$A$2:$A$712,A32)</f>
        <v>1803.85</v>
      </c>
      <c r="D32" s="20" t="n">
        <f aca="false">SUMIFS('Sales Data'!$G$2:$G$712,'Sales Data'!$A$2:$A$712,A32)</f>
        <v>379</v>
      </c>
      <c r="E32" s="16" t="str">
        <f aca="false">TEXT(A32,"mmm")</f>
        <v>Aug</v>
      </c>
    </row>
    <row r="33" customFormat="false" ht="15" hidden="false" customHeight="false" outlineLevel="0" collapsed="false">
      <c r="A33" s="15" t="n">
        <v>45901</v>
      </c>
      <c r="B33" s="16" t="str">
        <f aca="false">TEXT(A33,"ddd")</f>
        <v>Mon</v>
      </c>
      <c r="C33" s="19" t="n">
        <f aca="false">SUMIFS('Sales Data'!$H$2:$H$712,'Sales Data'!$A$2:$A$712,A33)</f>
        <v>1822.8</v>
      </c>
      <c r="D33" s="20" t="n">
        <f aca="false">SUMIFS('Sales Data'!$G$2:$G$712,'Sales Data'!$A$2:$A$712,A33)</f>
        <v>382</v>
      </c>
      <c r="E33" s="16" t="str">
        <f aca="false">TEXT(A33,"mmm")</f>
        <v>Sep</v>
      </c>
    </row>
    <row r="34" customFormat="false" ht="15" hidden="false" customHeight="false" outlineLevel="0" collapsed="false">
      <c r="A34" s="15" t="n">
        <v>45902</v>
      </c>
      <c r="B34" s="16" t="str">
        <f aca="false">TEXT(A34,"ddd")</f>
        <v>Tue</v>
      </c>
      <c r="C34" s="19" t="n">
        <f aca="false">SUMIFS('Sales Data'!$H$2:$H$712,'Sales Data'!$A$2:$A$712,A34)</f>
        <v>1743.35</v>
      </c>
      <c r="D34" s="20" t="n">
        <f aca="false">SUMIFS('Sales Data'!$G$2:$G$712,'Sales Data'!$A$2:$A$712,A34)</f>
        <v>363</v>
      </c>
      <c r="E34" s="16" t="str">
        <f aca="false">TEXT(A34,"mmm")</f>
        <v>Sep</v>
      </c>
    </row>
    <row r="35" customFormat="false" ht="15" hidden="false" customHeight="false" outlineLevel="0" collapsed="false">
      <c r="A35" s="15" t="n">
        <v>45903</v>
      </c>
      <c r="B35" s="16" t="str">
        <f aca="false">TEXT(A35,"ddd")</f>
        <v>Wed</v>
      </c>
      <c r="C35" s="19" t="n">
        <f aca="false">SUMIFS('Sales Data'!$H$2:$H$712,'Sales Data'!$A$2:$A$712,A35)</f>
        <v>1805.95</v>
      </c>
      <c r="D35" s="20" t="n">
        <f aca="false">SUMIFS('Sales Data'!$G$2:$G$712,'Sales Data'!$A$2:$A$712,A35)</f>
        <v>375</v>
      </c>
      <c r="E35" s="16" t="str">
        <f aca="false">TEXT(A35,"mmm")</f>
        <v>Sep</v>
      </c>
    </row>
    <row r="36" customFormat="false" ht="15" hidden="false" customHeight="false" outlineLevel="0" collapsed="false">
      <c r="A36" s="15" t="n">
        <v>45904</v>
      </c>
      <c r="B36" s="16" t="str">
        <f aca="false">TEXT(A36,"ddd")</f>
        <v>Thu</v>
      </c>
      <c r="C36" s="19" t="n">
        <f aca="false">SUMIFS('Sales Data'!$H$2:$H$712,'Sales Data'!$A$2:$A$712,A36)</f>
        <v>1970.6</v>
      </c>
      <c r="D36" s="20" t="n">
        <f aca="false">SUMIFS('Sales Data'!$G$2:$G$712,'Sales Data'!$A$2:$A$712,A36)</f>
        <v>408</v>
      </c>
      <c r="E36" s="16" t="str">
        <f aca="false">TEXT(A36,"mmm")</f>
        <v>Sep</v>
      </c>
    </row>
    <row r="37" customFormat="false" ht="15" hidden="false" customHeight="false" outlineLevel="0" collapsed="false">
      <c r="A37" s="15" t="n">
        <v>45905</v>
      </c>
      <c r="B37" s="16" t="str">
        <f aca="false">TEXT(A37,"ddd")</f>
        <v>Fri</v>
      </c>
      <c r="C37" s="19" t="n">
        <f aca="false">SUMIFS('Sales Data'!$H$2:$H$712,'Sales Data'!$A$2:$A$712,A37)</f>
        <v>1967.6</v>
      </c>
      <c r="D37" s="20" t="n">
        <f aca="false">SUMIFS('Sales Data'!$G$2:$G$712,'Sales Data'!$A$2:$A$712,A37)</f>
        <v>402</v>
      </c>
      <c r="E37" s="16" t="str">
        <f aca="false">TEXT(A37,"mmm")</f>
        <v>Sep</v>
      </c>
    </row>
    <row r="38" customFormat="false" ht="15" hidden="false" customHeight="false" outlineLevel="0" collapsed="false">
      <c r="A38" s="15" t="n">
        <v>45906</v>
      </c>
      <c r="B38" s="16" t="str">
        <f aca="false">TEXT(A38,"ddd")</f>
        <v>Sat</v>
      </c>
      <c r="C38" s="19" t="n">
        <f aca="false">SUMIFS('Sales Data'!$H$2:$H$712,'Sales Data'!$A$2:$A$712,A38)</f>
        <v>2197.45</v>
      </c>
      <c r="D38" s="20" t="n">
        <f aca="false">SUMIFS('Sales Data'!$G$2:$G$712,'Sales Data'!$A$2:$A$712,A38)</f>
        <v>453</v>
      </c>
      <c r="E38" s="16" t="str">
        <f aca="false">TEXT(A38,"mmm")</f>
        <v>Sep</v>
      </c>
    </row>
    <row r="39" customFormat="false" ht="15" hidden="false" customHeight="false" outlineLevel="0" collapsed="false">
      <c r="A39" s="15" t="n">
        <v>45907</v>
      </c>
      <c r="B39" s="16" t="str">
        <f aca="false">TEXT(A39,"ddd")</f>
        <v>Sun</v>
      </c>
      <c r="C39" s="19" t="n">
        <f aca="false">SUMIFS('Sales Data'!$H$2:$H$712,'Sales Data'!$A$2:$A$712,A39)</f>
        <v>2072.6</v>
      </c>
      <c r="D39" s="20" t="n">
        <f aca="false">SUMIFS('Sales Data'!$G$2:$G$712,'Sales Data'!$A$2:$A$712,A39)</f>
        <v>428</v>
      </c>
      <c r="E39" s="16" t="str">
        <f aca="false">TEXT(A39,"mmm")</f>
        <v>Sep</v>
      </c>
    </row>
    <row r="40" customFormat="false" ht="15" hidden="false" customHeight="false" outlineLevel="0" collapsed="false">
      <c r="A40" s="15" t="n">
        <v>45908</v>
      </c>
      <c r="B40" s="16" t="str">
        <f aca="false">TEXT(A40,"ddd")</f>
        <v>Mon</v>
      </c>
      <c r="C40" s="19" t="n">
        <f aca="false">SUMIFS('Sales Data'!$H$2:$H$712,'Sales Data'!$A$2:$A$712,A40)</f>
        <v>1851.2</v>
      </c>
      <c r="D40" s="20" t="n">
        <f aca="false">SUMIFS('Sales Data'!$G$2:$G$712,'Sales Data'!$A$2:$A$712,A40)</f>
        <v>384</v>
      </c>
      <c r="E40" s="16" t="str">
        <f aca="false">TEXT(A40,"mmm")</f>
        <v>Sep</v>
      </c>
    </row>
    <row r="41" customFormat="false" ht="15" hidden="false" customHeight="false" outlineLevel="0" collapsed="false">
      <c r="A41" s="15" t="n">
        <v>45909</v>
      </c>
      <c r="B41" s="16" t="str">
        <f aca="false">TEXT(A41,"ddd")</f>
        <v>Tue</v>
      </c>
      <c r="C41" s="19" t="n">
        <f aca="false">SUMIFS('Sales Data'!$H$2:$H$712,'Sales Data'!$A$2:$A$712,A41)</f>
        <v>1874.75</v>
      </c>
      <c r="D41" s="20" t="n">
        <f aca="false">SUMIFS('Sales Data'!$G$2:$G$712,'Sales Data'!$A$2:$A$712,A41)</f>
        <v>387</v>
      </c>
      <c r="E41" s="16" t="str">
        <f aca="false">TEXT(A41,"mmm")</f>
        <v>Sep</v>
      </c>
    </row>
    <row r="42" customFormat="false" ht="15" hidden="false" customHeight="false" outlineLevel="0" collapsed="false">
      <c r="A42" s="15" t="n">
        <v>45910</v>
      </c>
      <c r="B42" s="16" t="str">
        <f aca="false">TEXT(A42,"ddd")</f>
        <v>Wed</v>
      </c>
      <c r="C42" s="19" t="n">
        <f aca="false">SUMIFS('Sales Data'!$H$2:$H$712,'Sales Data'!$A$2:$A$712,A42)</f>
        <v>1951.85</v>
      </c>
      <c r="D42" s="20" t="n">
        <f aca="false">SUMIFS('Sales Data'!$G$2:$G$712,'Sales Data'!$A$2:$A$712,A42)</f>
        <v>401</v>
      </c>
      <c r="E42" s="16" t="str">
        <f aca="false">TEXT(A42,"mmm")</f>
        <v>Sep</v>
      </c>
    </row>
    <row r="43" customFormat="false" ht="15" hidden="false" customHeight="false" outlineLevel="0" collapsed="false">
      <c r="A43" s="15" t="n">
        <v>45911</v>
      </c>
      <c r="B43" s="16" t="str">
        <f aca="false">TEXT(A43,"ddd")</f>
        <v>Thu</v>
      </c>
      <c r="C43" s="19" t="n">
        <f aca="false">SUMIFS('Sales Data'!$H$2:$H$712,'Sales Data'!$A$2:$A$712,A43)</f>
        <v>1909.9</v>
      </c>
      <c r="D43" s="20" t="n">
        <f aca="false">SUMIFS('Sales Data'!$G$2:$G$712,'Sales Data'!$A$2:$A$712,A43)</f>
        <v>390</v>
      </c>
      <c r="E43" s="16" t="str">
        <f aca="false">TEXT(A43,"mmm")</f>
        <v>Sep</v>
      </c>
    </row>
    <row r="44" customFormat="false" ht="15" hidden="false" customHeight="false" outlineLevel="0" collapsed="false">
      <c r="A44" s="15" t="n">
        <v>45912</v>
      </c>
      <c r="B44" s="16" t="str">
        <f aca="false">TEXT(A44,"ddd")</f>
        <v>Fri</v>
      </c>
      <c r="C44" s="19" t="n">
        <f aca="false">SUMIFS('Sales Data'!$H$2:$H$712,'Sales Data'!$A$2:$A$712,A44)</f>
        <v>1877.25</v>
      </c>
      <c r="D44" s="20" t="n">
        <f aca="false">SUMIFS('Sales Data'!$G$2:$G$712,'Sales Data'!$A$2:$A$712,A44)</f>
        <v>389</v>
      </c>
      <c r="E44" s="16" t="str">
        <f aca="false">TEXT(A44,"mmm")</f>
        <v>Sep</v>
      </c>
    </row>
    <row r="45" customFormat="false" ht="15" hidden="false" customHeight="false" outlineLevel="0" collapsed="false">
      <c r="A45" s="15" t="n">
        <v>45913</v>
      </c>
      <c r="B45" s="16" t="str">
        <f aca="false">TEXT(A45,"ddd")</f>
        <v>Sat</v>
      </c>
      <c r="C45" s="19" t="n">
        <f aca="false">SUMIFS('Sales Data'!$H$2:$H$712,'Sales Data'!$A$2:$A$712,A45)</f>
        <v>2339.45</v>
      </c>
      <c r="D45" s="20" t="n">
        <f aca="false">SUMIFS('Sales Data'!$G$2:$G$712,'Sales Data'!$A$2:$A$712,A45)</f>
        <v>481</v>
      </c>
      <c r="E45" s="16" t="str">
        <f aca="false">TEXT(A45,"mmm")</f>
        <v>Sep</v>
      </c>
    </row>
    <row r="46" customFormat="false" ht="15" hidden="false" customHeight="false" outlineLevel="0" collapsed="false">
      <c r="A46" s="15" t="n">
        <v>45914</v>
      </c>
      <c r="B46" s="16" t="str">
        <f aca="false">TEXT(A46,"ddd")</f>
        <v>Sun</v>
      </c>
      <c r="C46" s="19" t="n">
        <f aca="false">SUMIFS('Sales Data'!$H$2:$H$712,'Sales Data'!$A$2:$A$712,A46)</f>
        <v>2155.7</v>
      </c>
      <c r="D46" s="20" t="n">
        <f aca="false">SUMIFS('Sales Data'!$G$2:$G$712,'Sales Data'!$A$2:$A$712,A46)</f>
        <v>444</v>
      </c>
      <c r="E46" s="16" t="str">
        <f aca="false">TEXT(A46,"mmm")</f>
        <v>Sep</v>
      </c>
    </row>
    <row r="47" customFormat="false" ht="15" hidden="false" customHeight="false" outlineLevel="0" collapsed="false">
      <c r="A47" s="15" t="n">
        <v>45915</v>
      </c>
      <c r="B47" s="16" t="str">
        <f aca="false">TEXT(A47,"ddd")</f>
        <v>Mon</v>
      </c>
      <c r="C47" s="19" t="n">
        <f aca="false">SUMIFS('Sales Data'!$H$2:$H$712,'Sales Data'!$A$2:$A$712,A47)</f>
        <v>1920.45</v>
      </c>
      <c r="D47" s="20" t="n">
        <f aca="false">SUMIFS('Sales Data'!$G$2:$G$712,'Sales Data'!$A$2:$A$712,A47)</f>
        <v>393</v>
      </c>
      <c r="E47" s="16" t="str">
        <f aca="false">TEXT(A47,"mmm")</f>
        <v>Sep</v>
      </c>
    </row>
    <row r="48" customFormat="false" ht="15" hidden="false" customHeight="false" outlineLevel="0" collapsed="false">
      <c r="A48" s="15" t="n">
        <v>45916</v>
      </c>
      <c r="B48" s="16" t="str">
        <f aca="false">TEXT(A48,"ddd")</f>
        <v>Tue</v>
      </c>
      <c r="C48" s="19" t="n">
        <f aca="false">SUMIFS('Sales Data'!$H$2:$H$712,'Sales Data'!$A$2:$A$712,A48)</f>
        <v>1922.25</v>
      </c>
      <c r="D48" s="20" t="n">
        <f aca="false">SUMIFS('Sales Data'!$G$2:$G$712,'Sales Data'!$A$2:$A$712,A48)</f>
        <v>395</v>
      </c>
      <c r="E48" s="16" t="str">
        <f aca="false">TEXT(A48,"mmm")</f>
        <v>Sep</v>
      </c>
    </row>
    <row r="49" customFormat="false" ht="15" hidden="false" customHeight="false" outlineLevel="0" collapsed="false">
      <c r="A49" s="15" t="n">
        <v>45917</v>
      </c>
      <c r="B49" s="16" t="str">
        <f aca="false">TEXT(A49,"ddd")</f>
        <v>Wed</v>
      </c>
      <c r="C49" s="19" t="n">
        <f aca="false">SUMIFS('Sales Data'!$H$2:$H$712,'Sales Data'!$A$2:$A$712,A49)</f>
        <v>1960.1</v>
      </c>
      <c r="D49" s="20" t="n">
        <f aca="false">SUMIFS('Sales Data'!$G$2:$G$712,'Sales Data'!$A$2:$A$712,A49)</f>
        <v>402</v>
      </c>
      <c r="E49" s="16" t="str">
        <f aca="false">TEXT(A49,"mmm")</f>
        <v>Sep</v>
      </c>
    </row>
    <row r="50" customFormat="false" ht="15" hidden="false" customHeight="false" outlineLevel="0" collapsed="false">
      <c r="A50" s="15" t="n">
        <v>45918</v>
      </c>
      <c r="B50" s="16" t="str">
        <f aca="false">TEXT(A50,"ddd")</f>
        <v>Thu</v>
      </c>
      <c r="C50" s="19" t="n">
        <f aca="false">SUMIFS('Sales Data'!$H$2:$H$712,'Sales Data'!$A$2:$A$712,A50)</f>
        <v>1886.45</v>
      </c>
      <c r="D50" s="20" t="n">
        <f aca="false">SUMIFS('Sales Data'!$G$2:$G$712,'Sales Data'!$A$2:$A$712,A50)</f>
        <v>389</v>
      </c>
      <c r="E50" s="16" t="str">
        <f aca="false">TEXT(A50,"mmm")</f>
        <v>Sep</v>
      </c>
    </row>
    <row r="51" customFormat="false" ht="15" hidden="false" customHeight="false" outlineLevel="0" collapsed="false">
      <c r="A51" s="15" t="n">
        <v>45919</v>
      </c>
      <c r="B51" s="16" t="str">
        <f aca="false">TEXT(A51,"ddd")</f>
        <v>Fri</v>
      </c>
      <c r="C51" s="19" t="n">
        <f aca="false">SUMIFS('Sales Data'!$H$2:$H$712,'Sales Data'!$A$2:$A$712,A51)</f>
        <v>1960.1</v>
      </c>
      <c r="D51" s="20" t="n">
        <f aca="false">SUMIFS('Sales Data'!$G$2:$G$712,'Sales Data'!$A$2:$A$712,A51)</f>
        <v>400</v>
      </c>
      <c r="E51" s="16" t="str">
        <f aca="false">TEXT(A51,"mmm")</f>
        <v>Sep</v>
      </c>
    </row>
    <row r="52" customFormat="false" ht="15" hidden="false" customHeight="false" outlineLevel="0" collapsed="false">
      <c r="A52" s="15" t="n">
        <v>45920</v>
      </c>
      <c r="B52" s="16" t="str">
        <f aca="false">TEXT(A52,"ddd")</f>
        <v>Sat</v>
      </c>
      <c r="C52" s="19" t="n">
        <f aca="false">SUMIFS('Sales Data'!$H$2:$H$712,'Sales Data'!$A$2:$A$712,A52)</f>
        <v>2249.9</v>
      </c>
      <c r="D52" s="20" t="n">
        <f aca="false">SUMIFS('Sales Data'!$G$2:$G$712,'Sales Data'!$A$2:$A$712,A52)</f>
        <v>460</v>
      </c>
      <c r="E52" s="16" t="str">
        <f aca="false">TEXT(A52,"mmm")</f>
        <v>Sep</v>
      </c>
    </row>
    <row r="53" customFormat="false" ht="15" hidden="false" customHeight="false" outlineLevel="0" collapsed="false">
      <c r="A53" s="15" t="n">
        <v>45921</v>
      </c>
      <c r="B53" s="16" t="str">
        <f aca="false">TEXT(A53,"ddd")</f>
        <v>Sun</v>
      </c>
      <c r="C53" s="19" t="n">
        <f aca="false">SUMIFS('Sales Data'!$H$2:$H$712,'Sales Data'!$A$2:$A$712,A53)</f>
        <v>2219.25</v>
      </c>
      <c r="D53" s="20" t="n">
        <f aca="false">SUMIFS('Sales Data'!$G$2:$G$712,'Sales Data'!$A$2:$A$712,A53)</f>
        <v>453</v>
      </c>
      <c r="E53" s="16" t="str">
        <f aca="false">TEXT(A53,"mmm")</f>
        <v>Sep</v>
      </c>
    </row>
    <row r="54" customFormat="false" ht="15" hidden="false" customHeight="false" outlineLevel="0" collapsed="false">
      <c r="A54" s="15" t="n">
        <v>45922</v>
      </c>
      <c r="B54" s="16" t="str">
        <f aca="false">TEXT(A54,"ddd")</f>
        <v>Mon</v>
      </c>
      <c r="C54" s="19" t="n">
        <f aca="false">SUMIFS('Sales Data'!$H$2:$H$712,'Sales Data'!$A$2:$A$712,A54)</f>
        <v>1886.2</v>
      </c>
      <c r="D54" s="20" t="n">
        <f aca="false">SUMIFS('Sales Data'!$G$2:$G$712,'Sales Data'!$A$2:$A$712,A54)</f>
        <v>388</v>
      </c>
      <c r="E54" s="16" t="str">
        <f aca="false">TEXT(A54,"mmm")</f>
        <v>Sep</v>
      </c>
    </row>
    <row r="55" customFormat="false" ht="15" hidden="false" customHeight="false" outlineLevel="0" collapsed="false">
      <c r="A55" s="15" t="n">
        <v>45923</v>
      </c>
      <c r="B55" s="16" t="str">
        <f aca="false">TEXT(A55,"ddd")</f>
        <v>Tue</v>
      </c>
      <c r="C55" s="19" t="n">
        <f aca="false">SUMIFS('Sales Data'!$H$2:$H$712,'Sales Data'!$A$2:$A$712,A55)</f>
        <v>1893.4</v>
      </c>
      <c r="D55" s="20" t="n">
        <f aca="false">SUMIFS('Sales Data'!$G$2:$G$712,'Sales Data'!$A$2:$A$712,A55)</f>
        <v>386</v>
      </c>
      <c r="E55" s="16" t="str">
        <f aca="false">TEXT(A55,"mmm")</f>
        <v>Sep</v>
      </c>
    </row>
    <row r="56" customFormat="false" ht="15" hidden="false" customHeight="false" outlineLevel="0" collapsed="false">
      <c r="A56" s="15" t="n">
        <v>45924</v>
      </c>
      <c r="B56" s="16" t="str">
        <f aca="false">TEXT(A56,"ddd")</f>
        <v>Wed</v>
      </c>
      <c r="C56" s="19" t="n">
        <f aca="false">SUMIFS('Sales Data'!$H$2:$H$712,'Sales Data'!$A$2:$A$712,A56)</f>
        <v>1886.05</v>
      </c>
      <c r="D56" s="20" t="n">
        <f aca="false">SUMIFS('Sales Data'!$G$2:$G$712,'Sales Data'!$A$2:$A$712,A56)</f>
        <v>387</v>
      </c>
      <c r="E56" s="16" t="str">
        <f aca="false">TEXT(A56,"mmm")</f>
        <v>Sep</v>
      </c>
    </row>
    <row r="57" customFormat="false" ht="15" hidden="false" customHeight="false" outlineLevel="0" collapsed="false">
      <c r="A57" s="15" t="n">
        <v>45925</v>
      </c>
      <c r="B57" s="16" t="str">
        <f aca="false">TEXT(A57,"ddd")</f>
        <v>Thu</v>
      </c>
      <c r="C57" s="19" t="n">
        <f aca="false">SUMIFS('Sales Data'!$H$2:$H$712,'Sales Data'!$A$2:$A$712,A57)</f>
        <v>1931.05</v>
      </c>
      <c r="D57" s="20" t="n">
        <f aca="false">SUMIFS('Sales Data'!$G$2:$G$712,'Sales Data'!$A$2:$A$712,A57)</f>
        <v>397</v>
      </c>
      <c r="E57" s="16" t="str">
        <f aca="false">TEXT(A57,"mmm")</f>
        <v>Sep</v>
      </c>
    </row>
    <row r="58" customFormat="false" ht="15" hidden="false" customHeight="false" outlineLevel="0" collapsed="false">
      <c r="A58" s="15" t="n">
        <v>45926</v>
      </c>
      <c r="B58" s="16" t="str">
        <f aca="false">TEXT(A58,"ddd")</f>
        <v>Fri</v>
      </c>
      <c r="C58" s="19" t="n">
        <f aca="false">SUMIFS('Sales Data'!$H$2:$H$712,'Sales Data'!$A$2:$A$712,A58)</f>
        <v>1947.55</v>
      </c>
      <c r="D58" s="20" t="n">
        <f aca="false">SUMIFS('Sales Data'!$G$2:$G$712,'Sales Data'!$A$2:$A$712,A58)</f>
        <v>397</v>
      </c>
      <c r="E58" s="16" t="str">
        <f aca="false">TEXT(A58,"mmm")</f>
        <v>Sep</v>
      </c>
    </row>
    <row r="59" customFormat="false" ht="15" hidden="false" customHeight="false" outlineLevel="0" collapsed="false">
      <c r="A59" s="15" t="n">
        <v>45927</v>
      </c>
      <c r="B59" s="16" t="str">
        <f aca="false">TEXT(A59,"ddd")</f>
        <v>Sat</v>
      </c>
      <c r="C59" s="19" t="n">
        <f aca="false">SUMIFS('Sales Data'!$H$2:$H$712,'Sales Data'!$A$2:$A$712,A59)</f>
        <v>2386.3</v>
      </c>
      <c r="D59" s="20" t="n">
        <f aca="false">SUMIFS('Sales Data'!$G$2:$G$712,'Sales Data'!$A$2:$A$712,A59)</f>
        <v>488</v>
      </c>
      <c r="E59" s="16" t="str">
        <f aca="false">TEXT(A59,"mmm")</f>
        <v>Sep</v>
      </c>
    </row>
    <row r="60" customFormat="false" ht="15" hidden="false" customHeight="false" outlineLevel="0" collapsed="false">
      <c r="A60" s="15" t="n">
        <v>45928</v>
      </c>
      <c r="B60" s="16" t="str">
        <f aca="false">TEXT(A60,"ddd")</f>
        <v>Sun</v>
      </c>
      <c r="C60" s="19" t="n">
        <f aca="false">SUMIFS('Sales Data'!$H$2:$H$712,'Sales Data'!$A$2:$A$712,A60)</f>
        <v>2035.4</v>
      </c>
      <c r="D60" s="20" t="n">
        <f aca="false">SUMIFS('Sales Data'!$G$2:$G$712,'Sales Data'!$A$2:$A$712,A60)</f>
        <v>414</v>
      </c>
      <c r="E60" s="16" t="str">
        <f aca="false">TEXT(A60,"mmm")</f>
        <v>Sep</v>
      </c>
    </row>
    <row r="61" customFormat="false" ht="15" hidden="false" customHeight="false" outlineLevel="0" collapsed="false">
      <c r="A61" s="15" t="n">
        <v>45929</v>
      </c>
      <c r="B61" s="16" t="str">
        <f aca="false">TEXT(A61,"ddd")</f>
        <v>Mon</v>
      </c>
      <c r="C61" s="19" t="n">
        <f aca="false">SUMIFS('Sales Data'!$H$2:$H$712,'Sales Data'!$A$2:$A$712,A61)</f>
        <v>1863.55</v>
      </c>
      <c r="D61" s="20" t="n">
        <f aca="false">SUMIFS('Sales Data'!$G$2:$G$712,'Sales Data'!$A$2:$A$712,A61)</f>
        <v>383</v>
      </c>
      <c r="E61" s="16" t="str">
        <f aca="false">TEXT(A61,"mmm")</f>
        <v>Sep</v>
      </c>
    </row>
    <row r="62" customFormat="false" ht="15" hidden="false" customHeight="false" outlineLevel="0" collapsed="false">
      <c r="A62" s="15" t="n">
        <v>45930</v>
      </c>
      <c r="B62" s="16" t="str">
        <f aca="false">TEXT(A62,"ddd")</f>
        <v>Tue</v>
      </c>
      <c r="C62" s="19" t="n">
        <f aca="false">SUMIFS('Sales Data'!$H$2:$H$712,'Sales Data'!$A$2:$A$712,A62)</f>
        <v>1974.55</v>
      </c>
      <c r="D62" s="20" t="n">
        <f aca="false">SUMIFS('Sales Data'!$G$2:$G$712,'Sales Data'!$A$2:$A$712,A62)</f>
        <v>403</v>
      </c>
      <c r="E62" s="16" t="str">
        <f aca="false">TEXT(A62,"mmm")</f>
        <v>Sep</v>
      </c>
    </row>
    <row r="63" customFormat="false" ht="15" hidden="false" customHeight="false" outlineLevel="0" collapsed="false">
      <c r="A63" s="15" t="n">
        <v>45931</v>
      </c>
      <c r="B63" s="16" t="str">
        <f aca="false">TEXT(A63,"ddd")</f>
        <v>Wed</v>
      </c>
      <c r="C63" s="19" t="n">
        <f aca="false">SUMIFS('Sales Data'!$H$2:$H$712,'Sales Data'!$A$2:$A$712,A63)</f>
        <v>1959.05</v>
      </c>
      <c r="D63" s="20" t="n">
        <f aca="false">SUMIFS('Sales Data'!$G$2:$G$712,'Sales Data'!$A$2:$A$712,A63)</f>
        <v>399</v>
      </c>
      <c r="E63" s="16" t="str">
        <f aca="false">TEXT(A63,"mmm")</f>
        <v>Oct</v>
      </c>
    </row>
    <row r="64" customFormat="false" ht="15" hidden="false" customHeight="false" outlineLevel="0" collapsed="false">
      <c r="A64" s="15" t="n">
        <v>45932</v>
      </c>
      <c r="B64" s="16" t="str">
        <f aca="false">TEXT(A64,"ddd")</f>
        <v>Thu</v>
      </c>
      <c r="C64" s="19" t="n">
        <f aca="false">SUMIFS('Sales Data'!$H$2:$H$712,'Sales Data'!$A$2:$A$712,A64)</f>
        <v>1908.55</v>
      </c>
      <c r="D64" s="20" t="n">
        <f aca="false">SUMIFS('Sales Data'!$G$2:$G$712,'Sales Data'!$A$2:$A$712,A64)</f>
        <v>389</v>
      </c>
      <c r="E64" s="16" t="str">
        <f aca="false">TEXT(A64,"mmm")</f>
        <v>Oct</v>
      </c>
    </row>
    <row r="65" customFormat="false" ht="15" hidden="false" customHeight="false" outlineLevel="0" collapsed="false">
      <c r="A65" s="15" t="n">
        <v>45933</v>
      </c>
      <c r="B65" s="16" t="str">
        <f aca="false">TEXT(A65,"ddd")</f>
        <v>Fri</v>
      </c>
      <c r="C65" s="19" t="n">
        <f aca="false">SUMIFS('Sales Data'!$H$2:$H$712,'Sales Data'!$A$2:$A$712,A65)</f>
        <v>1918.85</v>
      </c>
      <c r="D65" s="20" t="n">
        <f aca="false">SUMIFS('Sales Data'!$G$2:$G$712,'Sales Data'!$A$2:$A$712,A65)</f>
        <v>387</v>
      </c>
      <c r="E65" s="16" t="str">
        <f aca="false">TEXT(A65,"mmm")</f>
        <v>Oct</v>
      </c>
    </row>
    <row r="66" customFormat="false" ht="15" hidden="false" customHeight="false" outlineLevel="0" collapsed="false">
      <c r="A66" s="15" t="n">
        <v>45934</v>
      </c>
      <c r="B66" s="16" t="str">
        <f aca="false">TEXT(A66,"ddd")</f>
        <v>Sat</v>
      </c>
      <c r="C66" s="19" t="n">
        <f aca="false">SUMIFS('Sales Data'!$H$2:$H$712,'Sales Data'!$A$2:$A$712,A66)</f>
        <v>2279.95</v>
      </c>
      <c r="D66" s="20" t="n">
        <f aca="false">SUMIFS('Sales Data'!$G$2:$G$712,'Sales Data'!$A$2:$A$712,A66)</f>
        <v>465</v>
      </c>
      <c r="E66" s="16" t="str">
        <f aca="false">TEXT(A66,"mmm")</f>
        <v>Oct</v>
      </c>
    </row>
    <row r="67" customFormat="false" ht="15" hidden="false" customHeight="false" outlineLevel="0" collapsed="false">
      <c r="A67" s="15" t="n">
        <v>45935</v>
      </c>
      <c r="B67" s="16" t="str">
        <f aca="false">TEXT(A67,"ddd")</f>
        <v>Sun</v>
      </c>
      <c r="C67" s="19" t="n">
        <f aca="false">SUMIFS('Sales Data'!$H$2:$H$712,'Sales Data'!$A$2:$A$712,A67)</f>
        <v>2153.6</v>
      </c>
      <c r="D67" s="20" t="n">
        <f aca="false">SUMIFS('Sales Data'!$G$2:$G$712,'Sales Data'!$A$2:$A$712,A67)</f>
        <v>438</v>
      </c>
      <c r="E67" s="16" t="str">
        <f aca="false">TEXT(A67,"mmm")</f>
        <v>Oct</v>
      </c>
    </row>
    <row r="68" customFormat="false" ht="15" hidden="false" customHeight="false" outlineLevel="0" collapsed="false">
      <c r="A68" s="15" t="n">
        <v>45936</v>
      </c>
      <c r="B68" s="16" t="str">
        <f aca="false">TEXT(A68,"ddd")</f>
        <v>Mon</v>
      </c>
      <c r="C68" s="19" t="n">
        <f aca="false">SUMIFS('Sales Data'!$H$2:$H$712,'Sales Data'!$A$2:$A$712,A68)</f>
        <v>2058.25</v>
      </c>
      <c r="D68" s="20" t="n">
        <f aca="false">SUMIFS('Sales Data'!$G$2:$G$712,'Sales Data'!$A$2:$A$712,A68)</f>
        <v>419</v>
      </c>
      <c r="E68" s="16" t="str">
        <f aca="false">TEXT(A68,"mmm")</f>
        <v>Oct</v>
      </c>
    </row>
    <row r="69" customFormat="false" ht="15" hidden="false" customHeight="false" outlineLevel="0" collapsed="false">
      <c r="A69" s="15" t="n">
        <v>45937</v>
      </c>
      <c r="B69" s="16" t="str">
        <f aca="false">TEXT(A69,"ddd")</f>
        <v>Tue</v>
      </c>
      <c r="C69" s="19" t="n">
        <f aca="false">SUMIFS('Sales Data'!$H$2:$H$712,'Sales Data'!$A$2:$A$712,A69)</f>
        <v>1942.35</v>
      </c>
      <c r="D69" s="20" t="n">
        <f aca="false">SUMIFS('Sales Data'!$G$2:$G$712,'Sales Data'!$A$2:$A$712,A69)</f>
        <v>397</v>
      </c>
      <c r="E69" s="16" t="str">
        <f aca="false">TEXT(A69,"mmm")</f>
        <v>Oct</v>
      </c>
    </row>
    <row r="70" customFormat="false" ht="15" hidden="false" customHeight="false" outlineLevel="0" collapsed="false">
      <c r="A70" s="15" t="n">
        <v>45938</v>
      </c>
      <c r="B70" s="16" t="str">
        <f aca="false">TEXT(A70,"ddd")</f>
        <v>Wed</v>
      </c>
      <c r="C70" s="19" t="n">
        <f aca="false">SUMIFS('Sales Data'!$H$2:$H$712,'Sales Data'!$A$2:$A$712,A70)</f>
        <v>1896.3</v>
      </c>
      <c r="D70" s="20" t="n">
        <f aca="false">SUMIFS('Sales Data'!$G$2:$G$712,'Sales Data'!$A$2:$A$712,A70)</f>
        <v>386</v>
      </c>
      <c r="E70" s="16" t="str">
        <f aca="false">TEXT(A70,"mmm")</f>
        <v>Oct</v>
      </c>
    </row>
    <row r="71" customFormat="false" ht="15" hidden="false" customHeight="false" outlineLevel="0" collapsed="false">
      <c r="A71" s="15" t="n">
        <v>45939</v>
      </c>
      <c r="B71" s="16" t="str">
        <f aca="false">TEXT(A71,"ddd")</f>
        <v>Thu</v>
      </c>
      <c r="C71" s="19" t="n">
        <f aca="false">SUMIFS('Sales Data'!$H$2:$H$712,'Sales Data'!$A$2:$A$712,A71)</f>
        <v>1941.9</v>
      </c>
      <c r="D71" s="20" t="n">
        <f aca="false">SUMIFS('Sales Data'!$G$2:$G$712,'Sales Data'!$A$2:$A$712,A71)</f>
        <v>396</v>
      </c>
      <c r="E71" s="16" t="str">
        <f aca="false">TEXT(A71,"mmm")</f>
        <v>Oct</v>
      </c>
    </row>
    <row r="72" customFormat="false" ht="15" hidden="false" customHeight="false" outlineLevel="0" collapsed="false">
      <c r="A72" s="15" t="n">
        <v>45940</v>
      </c>
      <c r="B72" s="16" t="str">
        <f aca="false">TEXT(A72,"ddd")</f>
        <v>Fri</v>
      </c>
      <c r="C72" s="19" t="n">
        <f aca="false">SUMIFS('Sales Data'!$H$2:$H$712,'Sales Data'!$A$2:$A$712,A72)</f>
        <v>1942.6</v>
      </c>
      <c r="D72" s="20" t="n">
        <f aca="false">SUMIFS('Sales Data'!$G$2:$G$712,'Sales Data'!$A$2:$A$712,A72)</f>
        <v>392</v>
      </c>
      <c r="E72" s="16" t="str">
        <f aca="false">TEXT(A72,"mmm")</f>
        <v>Oct</v>
      </c>
    </row>
    <row r="73" customFormat="false" ht="15" hidden="false" customHeight="false" outlineLevel="0" collapsed="false">
      <c r="A73" s="15" t="n">
        <v>45941</v>
      </c>
      <c r="B73" s="16" t="str">
        <f aca="false">TEXT(A73,"ddd")</f>
        <v>Sat</v>
      </c>
      <c r="C73" s="19" t="n">
        <f aca="false">SUMIFS('Sales Data'!$H$2:$H$712,'Sales Data'!$A$2:$A$712,A73)</f>
        <v>2315</v>
      </c>
      <c r="D73" s="20" t="n">
        <f aca="false">SUMIFS('Sales Data'!$G$2:$G$712,'Sales Data'!$A$2:$A$712,A73)</f>
        <v>470</v>
      </c>
      <c r="E73" s="16" t="str">
        <f aca="false">TEXT(A73,"mmm")</f>
        <v>Oct</v>
      </c>
    </row>
    <row r="74" customFormat="false" ht="15" hidden="false" customHeight="false" outlineLevel="0" collapsed="false">
      <c r="A74" s="15" t="n">
        <v>45942</v>
      </c>
      <c r="B74" s="16" t="str">
        <f aca="false">TEXT(A74,"ddd")</f>
        <v>Sun</v>
      </c>
      <c r="C74" s="19" t="n">
        <f aca="false">SUMIFS('Sales Data'!$H$2:$H$712,'Sales Data'!$A$2:$A$712,A74)</f>
        <v>2270.75</v>
      </c>
      <c r="D74" s="20" t="n">
        <f aca="false">SUMIFS('Sales Data'!$G$2:$G$712,'Sales Data'!$A$2:$A$712,A74)</f>
        <v>461</v>
      </c>
      <c r="E74" s="16" t="str">
        <f aca="false">TEXT(A74,"mmm")</f>
        <v>Oct</v>
      </c>
    </row>
    <row r="75" customFormat="false" ht="15" hidden="false" customHeight="false" outlineLevel="0" collapsed="false">
      <c r="A75" s="15" t="n">
        <v>45943</v>
      </c>
      <c r="B75" s="16" t="str">
        <f aca="false">TEXT(A75,"ddd")</f>
        <v>Mon</v>
      </c>
      <c r="C75" s="19" t="n">
        <f aca="false">SUMIFS('Sales Data'!$H$2:$H$712,'Sales Data'!$A$2:$A$712,A75)</f>
        <v>1956.95</v>
      </c>
      <c r="D75" s="20" t="n">
        <f aca="false">SUMIFS('Sales Data'!$G$2:$G$712,'Sales Data'!$A$2:$A$712,A75)</f>
        <v>395</v>
      </c>
      <c r="E75" s="16" t="str">
        <f aca="false">TEXT(A75,"mmm")</f>
        <v>Oct</v>
      </c>
    </row>
    <row r="76" customFormat="false" ht="15" hidden="false" customHeight="false" outlineLevel="0" collapsed="false">
      <c r="A76" s="15" t="n">
        <v>45944</v>
      </c>
      <c r="B76" s="16" t="str">
        <f aca="false">TEXT(A76,"ddd")</f>
        <v>Tue</v>
      </c>
      <c r="C76" s="19" t="n">
        <f aca="false">SUMIFS('Sales Data'!$H$2:$H$712,'Sales Data'!$A$2:$A$712,A76)</f>
        <v>1883.55</v>
      </c>
      <c r="D76" s="20" t="n">
        <f aca="false">SUMIFS('Sales Data'!$G$2:$G$712,'Sales Data'!$A$2:$A$712,A76)</f>
        <v>381</v>
      </c>
      <c r="E76" s="16" t="str">
        <f aca="false">TEXT(A76,"mmm")</f>
        <v>Oct</v>
      </c>
    </row>
    <row r="77" customFormat="false" ht="15" hidden="false" customHeight="false" outlineLevel="0" collapsed="false">
      <c r="A77" s="15" t="n">
        <v>45945</v>
      </c>
      <c r="B77" s="16" t="str">
        <f aca="false">TEXT(A77,"ddd")</f>
        <v>Wed</v>
      </c>
      <c r="C77" s="19" t="n">
        <f aca="false">SUMIFS('Sales Data'!$H$2:$H$712,'Sales Data'!$A$2:$A$712,A77)</f>
        <v>1997.7</v>
      </c>
      <c r="D77" s="20" t="n">
        <f aca="false">SUMIFS('Sales Data'!$G$2:$G$712,'Sales Data'!$A$2:$A$712,A77)</f>
        <v>406</v>
      </c>
      <c r="E77" s="16" t="str">
        <f aca="false">TEXT(A77,"mmm")</f>
        <v>Oct</v>
      </c>
    </row>
    <row r="78" customFormat="false" ht="15" hidden="false" customHeight="false" outlineLevel="0" collapsed="false">
      <c r="A78" s="15" t="n">
        <v>45946</v>
      </c>
      <c r="B78" s="16" t="str">
        <f aca="false">TEXT(A78,"ddd")</f>
        <v>Thu</v>
      </c>
      <c r="C78" s="19" t="n">
        <f aca="false">SUMIFS('Sales Data'!$H$2:$H$712,'Sales Data'!$A$2:$A$712,A78)</f>
        <v>1937.95</v>
      </c>
      <c r="D78" s="20" t="n">
        <f aca="false">SUMIFS('Sales Data'!$G$2:$G$712,'Sales Data'!$A$2:$A$712,A78)</f>
        <v>393</v>
      </c>
      <c r="E78" s="16" t="str">
        <f aca="false">TEXT(A78,"mmm")</f>
        <v>Oct</v>
      </c>
    </row>
    <row r="79" customFormat="false" ht="15" hidden="false" customHeight="false" outlineLevel="0" collapsed="false">
      <c r="A79" s="15" t="n">
        <v>45947</v>
      </c>
      <c r="B79" s="16" t="str">
        <f aca="false">TEXT(A79,"ddd")</f>
        <v>Fri</v>
      </c>
      <c r="C79" s="19" t="n">
        <f aca="false">SUMIFS('Sales Data'!$H$2:$H$712,'Sales Data'!$A$2:$A$712,A79)</f>
        <v>2018.4</v>
      </c>
      <c r="D79" s="20" t="n">
        <f aca="false">SUMIFS('Sales Data'!$G$2:$G$712,'Sales Data'!$A$2:$A$712,A79)</f>
        <v>408</v>
      </c>
      <c r="E79" s="16" t="str">
        <f aca="false">TEXT(A79,"mmm")</f>
        <v>Oct</v>
      </c>
    </row>
    <row r="80" customFormat="false" ht="15" hidden="false" customHeight="false" outlineLevel="0" collapsed="false">
      <c r="A80" s="15" t="n">
        <v>45948</v>
      </c>
      <c r="B80" s="16" t="str">
        <f aca="false">TEXT(A80,"ddd")</f>
        <v>Sat</v>
      </c>
      <c r="C80" s="19" t="n">
        <f aca="false">SUMIFS('Sales Data'!$H$2:$H$712,'Sales Data'!$A$2:$A$712,A80)</f>
        <v>2284.55</v>
      </c>
      <c r="D80" s="20" t="n">
        <f aca="false">SUMIFS('Sales Data'!$G$2:$G$712,'Sales Data'!$A$2:$A$712,A80)</f>
        <v>461</v>
      </c>
      <c r="E80" s="16" t="str">
        <f aca="false">TEXT(A80,"mmm")</f>
        <v>Oct</v>
      </c>
    </row>
    <row r="81" customFormat="false" ht="15" hidden="false" customHeight="false" outlineLevel="0" collapsed="false">
      <c r="A81" s="15" t="n">
        <v>45949</v>
      </c>
      <c r="B81" s="16" t="str">
        <f aca="false">TEXT(A81,"ddd")</f>
        <v>Sun</v>
      </c>
      <c r="C81" s="19" t="n">
        <f aca="false">SUMIFS('Sales Data'!$H$2:$H$712,'Sales Data'!$A$2:$A$712,A81)</f>
        <v>2096.25</v>
      </c>
      <c r="D81" s="20" t="n">
        <f aca="false">SUMIFS('Sales Data'!$G$2:$G$712,'Sales Data'!$A$2:$A$712,A81)</f>
        <v>425</v>
      </c>
      <c r="E81" s="16" t="str">
        <f aca="false">TEXT(A81,"mmm")</f>
        <v>Oct</v>
      </c>
    </row>
    <row r="82" customFormat="false" ht="15" hidden="false" customHeight="false" outlineLevel="0" collapsed="false">
      <c r="A82" s="15" t="n">
        <v>45950</v>
      </c>
      <c r="B82" s="16" t="str">
        <f aca="false">TEXT(A82,"ddd")</f>
        <v>Mon</v>
      </c>
      <c r="C82" s="19" t="n">
        <f aca="false">SUMIFS('Sales Data'!$H$2:$H$712,'Sales Data'!$A$2:$A$712,A82)</f>
        <v>1927.25</v>
      </c>
      <c r="D82" s="20" t="n">
        <f aca="false">SUMIFS('Sales Data'!$G$2:$G$712,'Sales Data'!$A$2:$A$712,A82)</f>
        <v>391</v>
      </c>
      <c r="E82" s="16" t="str">
        <f aca="false">TEXT(A82,"mmm")</f>
        <v>Oct</v>
      </c>
    </row>
    <row r="83" customFormat="false" ht="15" hidden="false" customHeight="false" outlineLevel="0" collapsed="false">
      <c r="A83" s="15" t="n">
        <v>45951</v>
      </c>
      <c r="B83" s="16" t="str">
        <f aca="false">TEXT(A83,"ddd")</f>
        <v>Tue</v>
      </c>
      <c r="C83" s="19" t="n">
        <f aca="false">SUMIFS('Sales Data'!$H$2:$H$712,'Sales Data'!$A$2:$A$712,A83)</f>
        <v>1909.85</v>
      </c>
      <c r="D83" s="20" t="n">
        <f aca="false">SUMIFS('Sales Data'!$G$2:$G$712,'Sales Data'!$A$2:$A$712,A83)</f>
        <v>389</v>
      </c>
      <c r="E83" s="16" t="str">
        <f aca="false">TEXT(A83,"mmm")</f>
        <v>Oct</v>
      </c>
    </row>
    <row r="84" customFormat="false" ht="15" hidden="false" customHeight="false" outlineLevel="0" collapsed="false">
      <c r="A84" s="15" t="n">
        <v>45952</v>
      </c>
      <c r="B84" s="16" t="str">
        <f aca="false">TEXT(A84,"ddd")</f>
        <v>Wed</v>
      </c>
      <c r="C84" s="19" t="n">
        <f aca="false">SUMIFS('Sales Data'!$H$2:$H$712,'Sales Data'!$A$2:$A$712,A84)</f>
        <v>1983.15</v>
      </c>
      <c r="D84" s="20" t="n">
        <f aca="false">SUMIFS('Sales Data'!$G$2:$G$712,'Sales Data'!$A$2:$A$712,A84)</f>
        <v>401</v>
      </c>
      <c r="E84" s="16" t="str">
        <f aca="false">TEXT(A84,"mmm")</f>
        <v>Oct</v>
      </c>
    </row>
    <row r="85" customFormat="false" ht="15" hidden="false" customHeight="false" outlineLevel="0" collapsed="false">
      <c r="A85" s="15" t="n">
        <v>45953</v>
      </c>
      <c r="B85" s="16" t="str">
        <f aca="false">TEXT(A85,"ddd")</f>
        <v>Thu</v>
      </c>
      <c r="C85" s="19" t="n">
        <f aca="false">SUMIFS('Sales Data'!$H$2:$H$712,'Sales Data'!$A$2:$A$712,A85)</f>
        <v>1996.55</v>
      </c>
      <c r="D85" s="20" t="n">
        <f aca="false">SUMIFS('Sales Data'!$G$2:$G$712,'Sales Data'!$A$2:$A$712,A85)</f>
        <v>403</v>
      </c>
      <c r="E85" s="16" t="str">
        <f aca="false">TEXT(A85,"mmm")</f>
        <v>Oct</v>
      </c>
    </row>
    <row r="86" customFormat="false" ht="15" hidden="false" customHeight="false" outlineLevel="0" collapsed="false">
      <c r="A86" s="15" t="n">
        <v>45954</v>
      </c>
      <c r="B86" s="16" t="str">
        <f aca="false">TEXT(A86,"ddd")</f>
        <v>Fri</v>
      </c>
      <c r="C86" s="19" t="n">
        <f aca="false">SUMIFS('Sales Data'!$H$2:$H$712,'Sales Data'!$A$2:$A$712,A86)</f>
        <v>1970.65</v>
      </c>
      <c r="D86" s="20" t="n">
        <f aca="false">SUMIFS('Sales Data'!$G$2:$G$712,'Sales Data'!$A$2:$A$712,A86)</f>
        <v>397</v>
      </c>
      <c r="E86" s="16" t="str">
        <f aca="false">TEXT(A86,"mmm")</f>
        <v>Oct</v>
      </c>
    </row>
    <row r="87" customFormat="false" ht="15" hidden="false" customHeight="false" outlineLevel="0" collapsed="false">
      <c r="A87" s="15" t="n">
        <v>45955</v>
      </c>
      <c r="B87" s="16" t="str">
        <f aca="false">TEXT(A87,"ddd")</f>
        <v>Sat</v>
      </c>
      <c r="C87" s="19" t="n">
        <f aca="false">SUMIFS('Sales Data'!$H$2:$H$712,'Sales Data'!$A$2:$A$712,A87)</f>
        <v>2309.3</v>
      </c>
      <c r="D87" s="20" t="n">
        <f aca="false">SUMIFS('Sales Data'!$G$2:$G$712,'Sales Data'!$A$2:$A$712,A87)</f>
        <v>468</v>
      </c>
      <c r="E87" s="16" t="str">
        <f aca="false">TEXT(A87,"mmm")</f>
        <v>Oct</v>
      </c>
    </row>
    <row r="88" customFormat="false" ht="15" hidden="false" customHeight="false" outlineLevel="0" collapsed="false">
      <c r="A88" s="15" t="n">
        <v>45956</v>
      </c>
      <c r="B88" s="16" t="str">
        <f aca="false">TEXT(A88,"ddd")</f>
        <v>Sun</v>
      </c>
      <c r="C88" s="19" t="n">
        <f aca="false">SUMIFS('Sales Data'!$H$2:$H$712,'Sales Data'!$A$2:$A$712,A88)</f>
        <v>2057.25</v>
      </c>
      <c r="D88" s="20" t="n">
        <f aca="false">SUMIFS('Sales Data'!$G$2:$G$712,'Sales Data'!$A$2:$A$712,A88)</f>
        <v>417</v>
      </c>
      <c r="E88" s="16" t="str">
        <f aca="false">TEXT(A88,"mmm")</f>
        <v>Oct</v>
      </c>
    </row>
    <row r="89" customFormat="false" ht="15" hidden="false" customHeight="false" outlineLevel="0" collapsed="false">
      <c r="A89" s="15" t="n">
        <v>45957</v>
      </c>
      <c r="B89" s="16" t="str">
        <f aca="false">TEXT(A89,"ddd")</f>
        <v>Mon</v>
      </c>
      <c r="C89" s="19" t="n">
        <f aca="false">SUMIFS('Sales Data'!$H$2:$H$712,'Sales Data'!$A$2:$A$712,A89)</f>
        <v>1943.65</v>
      </c>
      <c r="D89" s="20" t="n">
        <f aca="false">SUMIFS('Sales Data'!$G$2:$G$712,'Sales Data'!$A$2:$A$712,A89)</f>
        <v>391</v>
      </c>
      <c r="E89" s="16" t="str">
        <f aca="false">TEXT(A89,"mmm")</f>
        <v>Oct</v>
      </c>
    </row>
    <row r="90" customFormat="false" ht="15" hidden="false" customHeight="false" outlineLevel="0" collapsed="false">
      <c r="A90" s="15" t="n">
        <v>45958</v>
      </c>
      <c r="B90" s="16" t="str">
        <f aca="false">TEXT(A90,"ddd")</f>
        <v>Tue</v>
      </c>
      <c r="C90" s="19" t="n">
        <f aca="false">SUMIFS('Sales Data'!$H$2:$H$712,'Sales Data'!$A$2:$A$712,A90)</f>
        <v>2022.15</v>
      </c>
      <c r="D90" s="20" t="n">
        <f aca="false">SUMIFS('Sales Data'!$G$2:$G$712,'Sales Data'!$A$2:$A$712,A90)</f>
        <v>407</v>
      </c>
      <c r="E90" s="16" t="str">
        <f aca="false">TEXT(A90,"mmm")</f>
        <v>Oct</v>
      </c>
    </row>
    <row r="91" customFormat="false" ht="15" hidden="false" customHeight="false" outlineLevel="0" collapsed="false">
      <c r="A91" s="15" t="n">
        <v>45959</v>
      </c>
      <c r="B91" s="16" t="str">
        <f aca="false">TEXT(A91,"ddd")</f>
        <v>Wed</v>
      </c>
      <c r="C91" s="19" t="n">
        <f aca="false">SUMIFS('Sales Data'!$H$2:$H$712,'Sales Data'!$A$2:$A$712,A91)</f>
        <v>1912.65</v>
      </c>
      <c r="D91" s="20" t="n">
        <f aca="false">SUMIFS('Sales Data'!$G$2:$G$712,'Sales Data'!$A$2:$A$712,A91)</f>
        <v>385</v>
      </c>
      <c r="E91" s="16" t="str">
        <f aca="false">TEXT(A91,"mmm")</f>
        <v>Oct</v>
      </c>
    </row>
    <row r="92" customFormat="false" ht="15" hidden="false" customHeight="false" outlineLevel="0" collapsed="false">
      <c r="A92" s="15" t="n">
        <v>45960</v>
      </c>
      <c r="B92" s="16" t="str">
        <f aca="false">TEXT(A92,"ddd")</f>
        <v>Thu</v>
      </c>
      <c r="C92" s="19" t="n">
        <f aca="false">SUMIFS('Sales Data'!$H$2:$H$712,'Sales Data'!$A$2:$A$712,A92)</f>
        <v>1794.3</v>
      </c>
      <c r="D92" s="20" t="n">
        <f aca="false">SUMIFS('Sales Data'!$G$2:$G$712,'Sales Data'!$A$2:$A$712,A92)</f>
        <v>362</v>
      </c>
      <c r="E92" s="16" t="str">
        <f aca="false">TEXT(A92,"mmm")</f>
        <v>Oct</v>
      </c>
    </row>
    <row r="93" customFormat="false" ht="15" hidden="false" customHeight="false" outlineLevel="0" collapsed="false">
      <c r="A93" s="15" t="n">
        <v>45961</v>
      </c>
      <c r="B93" s="16" t="str">
        <f aca="false">TEXT(A93,"ddd")</f>
        <v>Fri</v>
      </c>
      <c r="C93" s="19" t="n">
        <f aca="false">SUMIFS('Sales Data'!$H$2:$H$712,'Sales Data'!$A$2:$A$712,A93)</f>
        <v>1957.25</v>
      </c>
      <c r="D93" s="20" t="n">
        <f aca="false">SUMIFS('Sales Data'!$G$2:$G$712,'Sales Data'!$A$2:$A$712,A93)</f>
        <v>395</v>
      </c>
      <c r="E93" s="16" t="str">
        <f aca="false">TEXT(A93,"mmm")</f>
        <v>Oct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6" min="4" style="0" width="16"/>
    <col collapsed="false" customWidth="true" hidden="false" outlineLevel="0" max="7" min="7" style="0" width="20"/>
  </cols>
  <sheetData>
    <row r="1" customFormat="false" ht="19.7" hidden="false" customHeight="false" outlineLevel="0" collapsed="false">
      <c r="A1" s="1" t="s">
        <v>47</v>
      </c>
    </row>
    <row r="3" customFormat="false" ht="15" hidden="false" customHeight="false" outlineLevel="0" collapsed="false">
      <c r="A3" s="4" t="s">
        <v>48</v>
      </c>
    </row>
    <row r="4" customFormat="false" ht="30" hidden="false" customHeight="true" outlineLevel="0" collapsed="false">
      <c r="A4" s="13" t="s">
        <v>25</v>
      </c>
      <c r="B4" s="13" t="s">
        <v>26</v>
      </c>
      <c r="C4" s="13" t="s">
        <v>43</v>
      </c>
      <c r="D4" s="13" t="s">
        <v>44</v>
      </c>
      <c r="E4" s="13" t="s">
        <v>49</v>
      </c>
      <c r="F4" s="13" t="s">
        <v>50</v>
      </c>
      <c r="G4" s="13" t="s">
        <v>51</v>
      </c>
    </row>
    <row r="5" customFormat="false" ht="15" hidden="false" customHeight="false" outlineLevel="0" collapsed="false">
      <c r="A5" s="6" t="s">
        <v>28</v>
      </c>
      <c r="B5" s="6" t="str">
        <f aca="false">INDEX(Products!$B$2:$B$9,MATCH(A5,Products!$A$2:$A$9,0))</f>
        <v>Hot Espresso</v>
      </c>
      <c r="C5" s="21" t="n">
        <f aca="false">SUMIFS('Sales Data'!$G$2:$G$712,'Sales Data'!$D$2:$D$712,A5)</f>
        <v>6269</v>
      </c>
      <c r="D5" s="22" t="n">
        <f aca="false">SUMIFS('Sales Data'!$H$2:$H$712,'Sales Data'!$D$2:$D$712,A5)</f>
        <v>31031.55</v>
      </c>
      <c r="E5" s="23" t="n">
        <f aca="false">D5/$D$13</f>
        <v>0.18066250866735</v>
      </c>
      <c r="F5" s="24" t="n">
        <f aca="false">C5/COUNTIFS('Sales Data'!$D$2:$D$712,A5)</f>
        <v>68.1413043478261</v>
      </c>
      <c r="G5" s="25" t="n">
        <f aca="false">F5*INDEX(Products!$C$2:$C$9,MATCH(A5,Products!$A$2:$A$9,0))</f>
        <v>337.299456521739</v>
      </c>
    </row>
    <row r="6" customFormat="false" ht="15" hidden="false" customHeight="false" outlineLevel="0" collapsed="false">
      <c r="A6" s="6" t="s">
        <v>30</v>
      </c>
      <c r="B6" s="6" t="str">
        <f aca="false">INDEX(Products!$B$2:$B$9,MATCH(A6,Products!$A$2:$A$9,0))</f>
        <v>Hot Espresso</v>
      </c>
      <c r="C6" s="21" t="n">
        <f aca="false">SUMIFS('Sales Data'!$G$2:$G$712,'Sales Data'!$D$2:$D$712,A6)</f>
        <v>4621</v>
      </c>
      <c r="D6" s="22" t="n">
        <f aca="false">SUMIFS('Sales Data'!$H$2:$H$712,'Sales Data'!$D$2:$D$712,A6)</f>
        <v>21949.75</v>
      </c>
      <c r="E6" s="23" t="n">
        <f aca="false">D6/$D$13</f>
        <v>0.127789198400375</v>
      </c>
      <c r="F6" s="24" t="n">
        <f aca="false">C6/COUNTIFS('Sales Data'!$D$2:$D$712,A6)</f>
        <v>50.2282608695652</v>
      </c>
      <c r="G6" s="25" t="n">
        <f aca="false">F6*INDEX(Products!$C$2:$C$9,MATCH(A6,Products!$A$2:$A$9,0))</f>
        <v>238.584239130435</v>
      </c>
    </row>
    <row r="7" customFormat="false" ht="15" hidden="false" customHeight="false" outlineLevel="0" collapsed="false">
      <c r="A7" s="6" t="s">
        <v>31</v>
      </c>
      <c r="B7" s="6" t="str">
        <f aca="false">INDEX(Products!$B$2:$B$9,MATCH(A7,Products!$A$2:$A$9,0))</f>
        <v>Hot Espresso</v>
      </c>
      <c r="C7" s="21" t="n">
        <f aca="false">SUMIFS('Sales Data'!$G$2:$G$712,'Sales Data'!$D$2:$D$712,A7)</f>
        <v>4155</v>
      </c>
      <c r="D7" s="22" t="n">
        <f aca="false">SUMIFS('Sales Data'!$H$2:$H$712,'Sales Data'!$D$2:$D$712,A7)</f>
        <v>22644.75</v>
      </c>
      <c r="E7" s="23" t="n">
        <f aca="false">D7/$D$13</f>
        <v>0.131835417281605</v>
      </c>
      <c r="F7" s="24" t="n">
        <f aca="false">C7/COUNTIFS('Sales Data'!$D$2:$D$712,A7)</f>
        <v>45.1630434782609</v>
      </c>
      <c r="G7" s="25" t="n">
        <f aca="false">F7*INDEX(Products!$C$2:$C$9,MATCH(A7,Products!$A$2:$A$9,0))</f>
        <v>246.138586956522</v>
      </c>
    </row>
    <row r="8" customFormat="false" ht="15" hidden="false" customHeight="false" outlineLevel="0" collapsed="false">
      <c r="A8" s="6" t="s">
        <v>32</v>
      </c>
      <c r="B8" s="6" t="str">
        <f aca="false">INDEX(Products!$B$2:$B$9,MATCH(A8,Products!$A$2:$A$9,0))</f>
        <v>Hot Espresso</v>
      </c>
      <c r="C8" s="21" t="n">
        <f aca="false">SUMIFS('Sales Data'!$G$2:$G$712,'Sales Data'!$D$2:$D$712,A8)</f>
        <v>2836</v>
      </c>
      <c r="D8" s="22" t="n">
        <f aca="false">SUMIFS('Sales Data'!$H$2:$H$712,'Sales Data'!$D$2:$D$712,A8)</f>
        <v>10635</v>
      </c>
      <c r="E8" s="23" t="n">
        <f aca="false">D8/$D$13</f>
        <v>0.0619158817293132</v>
      </c>
      <c r="F8" s="24" t="n">
        <f aca="false">C8/COUNTIFS('Sales Data'!$D$2:$D$712,A8)</f>
        <v>30.8260869565217</v>
      </c>
      <c r="G8" s="25" t="n">
        <f aca="false">F8*INDEX(Products!$C$2:$C$9,MATCH(A8,Products!$A$2:$A$9,0))</f>
        <v>115.597826086957</v>
      </c>
    </row>
    <row r="9" customFormat="false" ht="15" hidden="false" customHeight="false" outlineLevel="0" collapsed="false">
      <c r="A9" s="6" t="s">
        <v>33</v>
      </c>
      <c r="B9" s="6" t="str">
        <f aca="false">INDEX(Products!$B$2:$B$9,MATCH(A9,Products!$A$2:$A$9,0))</f>
        <v>Hot Espresso</v>
      </c>
      <c r="C9" s="21" t="n">
        <f aca="false">SUMIFS('Sales Data'!$G$2:$G$712,'Sales Data'!$D$2:$D$712,A9)</f>
        <v>3299</v>
      </c>
      <c r="D9" s="22" t="n">
        <f aca="false">SUMIFS('Sales Data'!$H$2:$H$712,'Sales Data'!$D$2:$D$712,A9)</f>
        <v>17319.75</v>
      </c>
      <c r="E9" s="23" t="n">
        <f aca="false">D9/$D$13</f>
        <v>0.100833812184417</v>
      </c>
      <c r="F9" s="24" t="n">
        <f aca="false">C9/COUNTIFS('Sales Data'!$D$2:$D$712,A9)</f>
        <v>35.8586956521739</v>
      </c>
      <c r="G9" s="25" t="n">
        <f aca="false">F9*INDEX(Products!$C$2:$C$9,MATCH(A9,Products!$A$2:$A$9,0))</f>
        <v>188.258152173913</v>
      </c>
    </row>
    <row r="10" customFormat="false" ht="15" hidden="false" customHeight="false" outlineLevel="0" collapsed="false">
      <c r="A10" s="6" t="s">
        <v>34</v>
      </c>
      <c r="B10" s="6" t="str">
        <f aca="false">INDEX(Products!$B$2:$B$9,MATCH(A10,Products!$A$2:$A$9,0))</f>
        <v>Seasonal</v>
      </c>
      <c r="C10" s="21" t="n">
        <f aca="false">SUMIFS('Sales Data'!$G$2:$G$712,'Sales Data'!$D$2:$D$712,A10)</f>
        <v>4989</v>
      </c>
      <c r="D10" s="22" t="n">
        <f aca="false">SUMIFS('Sales Data'!$H$2:$H$712,'Sales Data'!$D$2:$D$712,A10)</f>
        <v>28686.75</v>
      </c>
      <c r="E10" s="23" t="n">
        <f aca="false">D10/$D$13</f>
        <v>0.16701132300878</v>
      </c>
      <c r="F10" s="24" t="n">
        <f aca="false">C10/COUNTIFS('Sales Data'!$D$2:$D$712,A10)</f>
        <v>74.4626865671642</v>
      </c>
      <c r="G10" s="25" t="n">
        <f aca="false">F10*INDEX(Products!$C$2:$C$9,MATCH(A10,Products!$A$2:$A$9,0))</f>
        <v>428.160447761194</v>
      </c>
    </row>
    <row r="11" customFormat="false" ht="15" hidden="false" customHeight="false" outlineLevel="0" collapsed="false">
      <c r="A11" s="6" t="s">
        <v>36</v>
      </c>
      <c r="B11" s="6" t="str">
        <f aca="false">INDEX(Products!$B$2:$B$9,MATCH(A11,Products!$A$2:$A$9,0))</f>
        <v>Cold Drinks</v>
      </c>
      <c r="C11" s="21" t="n">
        <f aca="false">SUMIFS('Sales Data'!$G$2:$G$712,'Sales Data'!$D$2:$D$712,A11)</f>
        <v>5332</v>
      </c>
      <c r="D11" s="22" t="n">
        <f aca="false">SUMIFS('Sales Data'!$H$2:$H$712,'Sales Data'!$D$2:$D$712,A11)</f>
        <v>21061.4</v>
      </c>
      <c r="E11" s="23" t="n">
        <f aca="false">D11/$D$13</f>
        <v>0.122617315604491</v>
      </c>
      <c r="F11" s="24" t="n">
        <f aca="false">C11/COUNTIFS('Sales Data'!$D$2:$D$712,A11)</f>
        <v>57.9565217391304</v>
      </c>
      <c r="G11" s="25" t="n">
        <f aca="false">F11*INDEX(Products!$C$2:$C$9,MATCH(A11,Products!$A$2:$A$9,0))</f>
        <v>228.928260869565</v>
      </c>
    </row>
    <row r="12" customFormat="false" ht="15" hidden="false" customHeight="false" outlineLevel="0" collapsed="false">
      <c r="A12" s="6" t="s">
        <v>38</v>
      </c>
      <c r="B12" s="6" t="str">
        <f aca="false">INDEX(Products!$B$2:$B$9,MATCH(A12,Products!$A$2:$A$9,0))</f>
        <v>Cold Drinks</v>
      </c>
      <c r="C12" s="21" t="n">
        <f aca="false">SUMIFS('Sales Data'!$G$2:$G$712,'Sales Data'!$D$2:$D$712,A12)</f>
        <v>4143</v>
      </c>
      <c r="D12" s="22" t="n">
        <f aca="false">SUMIFS('Sales Data'!$H$2:$H$712,'Sales Data'!$D$2:$D$712,A12)</f>
        <v>18436.35</v>
      </c>
      <c r="E12" s="23" t="n">
        <f aca="false">D12/$D$13</f>
        <v>0.107334543123669</v>
      </c>
      <c r="F12" s="24" t="n">
        <f aca="false">C12/COUNTIFS('Sales Data'!$D$2:$D$712,A12)</f>
        <v>45.0326086956522</v>
      </c>
      <c r="G12" s="25" t="n">
        <f aca="false">F12*INDEX(Products!$C$2:$C$9,MATCH(A12,Products!$A$2:$A$9,0))</f>
        <v>200.395108695652</v>
      </c>
    </row>
    <row r="13" customFormat="false" ht="15" hidden="false" customHeight="false" outlineLevel="0" collapsed="false">
      <c r="A13" s="26" t="s">
        <v>52</v>
      </c>
      <c r="B13" s="26"/>
      <c r="C13" s="27" t="n">
        <f aca="false">SUM(C5:C12)</f>
        <v>35644</v>
      </c>
      <c r="D13" s="28" t="n">
        <f aca="false">SUM(D5:D12)</f>
        <v>171765.3</v>
      </c>
      <c r="E13" s="29" t="n">
        <f aca="false">SUM(E5:E12)</f>
        <v>1</v>
      </c>
      <c r="F13" s="26"/>
      <c r="G13" s="26"/>
    </row>
    <row r="14" customFormat="false" ht="15" hidden="false" customHeight="false" outlineLevel="0" collapsed="false">
      <c r="A14" s="2" t="s">
        <v>53</v>
      </c>
    </row>
    <row r="17" customFormat="false" ht="15" hidden="false" customHeight="false" outlineLevel="0" collapsed="false">
      <c r="A17" s="4" t="s">
        <v>54</v>
      </c>
    </row>
    <row r="18" customFormat="false" ht="30" hidden="false" customHeight="true" outlineLevel="0" collapsed="false">
      <c r="A18" s="13" t="s">
        <v>41</v>
      </c>
      <c r="B18" s="13" t="s">
        <v>55</v>
      </c>
      <c r="C18" s="13" t="s">
        <v>45</v>
      </c>
      <c r="D18" s="13" t="s">
        <v>56</v>
      </c>
    </row>
    <row r="19" customFormat="false" ht="15" hidden="false" customHeight="false" outlineLevel="0" collapsed="false">
      <c r="A19" s="6" t="s">
        <v>57</v>
      </c>
      <c r="B19" s="22" t="n">
        <f aca="false">AVERAGEIFS('Daily Totals'!$C$2:$C$93,'Daily Totals'!$B$2:$B$93,A19)</f>
        <v>1789.75769230769</v>
      </c>
      <c r="C19" s="22" t="n">
        <f aca="false">SUMIFS('Daily Totals'!$C$2:$C$93,'Daily Totals'!$B$2:$B$93,A19)</f>
        <v>23266.85</v>
      </c>
      <c r="D19" s="30" t="n">
        <f aca="false">COUNTIFS('Daily Totals'!$B$2:$B$93,A19)</f>
        <v>13</v>
      </c>
    </row>
    <row r="20" customFormat="false" ht="15" hidden="false" customHeight="false" outlineLevel="0" collapsed="false">
      <c r="A20" s="6" t="s">
        <v>58</v>
      </c>
      <c r="B20" s="22" t="n">
        <f aca="false">AVERAGEIFS('Daily Totals'!$C$2:$C$93,'Daily Totals'!$B$2:$B$93,A20)</f>
        <v>1778.68846153846</v>
      </c>
      <c r="C20" s="22" t="n">
        <f aca="false">SUMIFS('Daily Totals'!$C$2:$C$93,'Daily Totals'!$B$2:$B$93,A20)</f>
        <v>23122.95</v>
      </c>
      <c r="D20" s="30" t="n">
        <f aca="false">COUNTIFS('Daily Totals'!$B$2:$B$93,A20)</f>
        <v>13</v>
      </c>
    </row>
    <row r="21" customFormat="false" ht="15" hidden="false" customHeight="false" outlineLevel="0" collapsed="false">
      <c r="A21" s="6" t="s">
        <v>59</v>
      </c>
      <c r="B21" s="22" t="n">
        <f aca="false">AVERAGEIFS('Daily Totals'!$C$2:$C$93,'Daily Totals'!$B$2:$B$93,A21)</f>
        <v>1803.68076923077</v>
      </c>
      <c r="C21" s="22" t="n">
        <f aca="false">SUMIFS('Daily Totals'!$C$2:$C$93,'Daily Totals'!$B$2:$B$93,A21)</f>
        <v>23447.85</v>
      </c>
      <c r="D21" s="30" t="n">
        <f aca="false">COUNTIFS('Daily Totals'!$B$2:$B$93,A21)</f>
        <v>13</v>
      </c>
    </row>
    <row r="22" customFormat="false" ht="15" hidden="false" customHeight="false" outlineLevel="0" collapsed="false">
      <c r="A22" s="6" t="s">
        <v>60</v>
      </c>
      <c r="B22" s="22" t="n">
        <f aca="false">AVERAGEIFS('Daily Totals'!$C$2:$C$93,'Daily Totals'!$B$2:$B$93,A22)</f>
        <v>1806.54230769231</v>
      </c>
      <c r="C22" s="22" t="n">
        <f aca="false">SUMIFS('Daily Totals'!$C$2:$C$93,'Daily Totals'!$B$2:$B$93,A22)</f>
        <v>23485.05</v>
      </c>
      <c r="D22" s="30" t="n">
        <f aca="false">COUNTIFS('Daily Totals'!$B$2:$B$93,A22)</f>
        <v>13</v>
      </c>
    </row>
    <row r="23" customFormat="false" ht="15" hidden="false" customHeight="false" outlineLevel="0" collapsed="false">
      <c r="A23" s="6" t="s">
        <v>61</v>
      </c>
      <c r="B23" s="22" t="n">
        <f aca="false">AVERAGEIFS('Daily Totals'!$C$2:$C$93,'Daily Totals'!$B$2:$B$93,A23)</f>
        <v>1797.78214285714</v>
      </c>
      <c r="C23" s="22" t="n">
        <f aca="false">SUMIFS('Daily Totals'!$C$2:$C$93,'Daily Totals'!$B$2:$B$93,A23)</f>
        <v>25168.95</v>
      </c>
      <c r="D23" s="30" t="n">
        <f aca="false">COUNTIFS('Daily Totals'!$B$2:$B$93,A23)</f>
        <v>14</v>
      </c>
    </row>
    <row r="24" customFormat="false" ht="15" hidden="false" customHeight="false" outlineLevel="0" collapsed="false">
      <c r="A24" s="6" t="s">
        <v>62</v>
      </c>
      <c r="B24" s="22" t="n">
        <f aca="false">AVERAGEIFS('Daily Totals'!$C$2:$C$93,'Daily Totals'!$B$2:$B$93,A24)</f>
        <v>2130.99615384615</v>
      </c>
      <c r="C24" s="22" t="n">
        <f aca="false">SUMIFS('Daily Totals'!$C$2:$C$93,'Daily Totals'!$B$2:$B$93,A24)</f>
        <v>27702.95</v>
      </c>
      <c r="D24" s="30" t="n">
        <f aca="false">COUNTIFS('Daily Totals'!$B$2:$B$93,A24)</f>
        <v>13</v>
      </c>
    </row>
    <row r="25" customFormat="false" ht="15" hidden="false" customHeight="false" outlineLevel="0" collapsed="false">
      <c r="A25" s="6" t="s">
        <v>63</v>
      </c>
      <c r="B25" s="22" t="n">
        <f aca="false">AVERAGEIFS('Daily Totals'!$C$2:$C$93,'Daily Totals'!$B$2:$B$93,A25)</f>
        <v>1966.97692307692</v>
      </c>
      <c r="C25" s="22" t="n">
        <f aca="false">SUMIFS('Daily Totals'!$C$2:$C$93,'Daily Totals'!$B$2:$B$93,A25)</f>
        <v>25570.7</v>
      </c>
      <c r="D25" s="30" t="n">
        <f aca="false">COUNTIFS('Daily Totals'!$B$2:$B$93,A25)</f>
        <v>13</v>
      </c>
    </row>
    <row r="28" customFormat="false" ht="15" hidden="false" customHeight="false" outlineLevel="0" collapsed="false">
      <c r="A28" s="4" t="s">
        <v>64</v>
      </c>
    </row>
    <row r="29" customFormat="false" ht="30" hidden="false" customHeight="true" outlineLevel="0" collapsed="false">
      <c r="A29" s="13" t="s">
        <v>42</v>
      </c>
      <c r="B29" s="13" t="s">
        <v>44</v>
      </c>
      <c r="C29" s="13" t="s">
        <v>43</v>
      </c>
      <c r="D29" s="13" t="s">
        <v>65</v>
      </c>
      <c r="E29" s="13" t="s">
        <v>55</v>
      </c>
    </row>
    <row r="30" customFormat="false" ht="15" hidden="false" customHeight="false" outlineLevel="0" collapsed="false">
      <c r="A30" s="6" t="s">
        <v>66</v>
      </c>
      <c r="B30" s="22" t="n">
        <f aca="false">SUMIFS('Daily Totals'!$C$2:$C$93,'Daily Totals'!$E$2:$E$93,A30)</f>
        <v>49755.8</v>
      </c>
      <c r="C30" s="21" t="n">
        <f aca="false">SUMIFS('Daily Totals'!$D$2:$D$93,'Daily Totals'!$E$2:$E$93,A30)</f>
        <v>10748</v>
      </c>
      <c r="D30" s="30" t="n">
        <f aca="false">COUNTIFS('Daily Totals'!$E$2:$E$93,A30)</f>
        <v>31</v>
      </c>
      <c r="E30" s="22" t="n">
        <f aca="false">B30/D30</f>
        <v>1605.02580645161</v>
      </c>
    </row>
    <row r="31" customFormat="false" ht="15" hidden="false" customHeight="false" outlineLevel="0" collapsed="false">
      <c r="A31" s="6" t="s">
        <v>67</v>
      </c>
      <c r="B31" s="22" t="n">
        <f aca="false">SUMIFS('Daily Totals'!$C$2:$C$93,'Daily Totals'!$E$2:$E$93,A31)</f>
        <v>59463</v>
      </c>
      <c r="C31" s="21" t="n">
        <f aca="false">SUMIFS('Daily Totals'!$D$2:$D$93,'Daily Totals'!$E$2:$E$93,A31)</f>
        <v>12222</v>
      </c>
      <c r="D31" s="30" t="n">
        <f aca="false">COUNTIFS('Daily Totals'!$E$2:$E$93,A31)</f>
        <v>30</v>
      </c>
      <c r="E31" s="22" t="n">
        <f aca="false">B31/D31</f>
        <v>1982.1</v>
      </c>
    </row>
    <row r="32" customFormat="false" ht="15" hidden="false" customHeight="false" outlineLevel="0" collapsed="false">
      <c r="A32" s="6" t="s">
        <v>68</v>
      </c>
      <c r="B32" s="22" t="n">
        <f aca="false">SUMIFS('Daily Totals'!$C$2:$C$93,'Daily Totals'!$E$2:$E$93,A32)</f>
        <v>62546.5</v>
      </c>
      <c r="C32" s="21" t="n">
        <f aca="false">SUMIFS('Daily Totals'!$D$2:$D$93,'Daily Totals'!$E$2:$E$93,A32)</f>
        <v>12674</v>
      </c>
      <c r="D32" s="30" t="n">
        <f aca="false">COUNTIFS('Daily Totals'!$E$2:$E$93,A32)</f>
        <v>31</v>
      </c>
      <c r="E32" s="22" t="n">
        <f aca="false">B32/D32</f>
        <v>2017.62903225806</v>
      </c>
    </row>
    <row r="35" customFormat="false" ht="15" hidden="false" customHeight="false" outlineLevel="0" collapsed="false">
      <c r="A35" s="4" t="s">
        <v>69</v>
      </c>
    </row>
    <row r="36" customFormat="false" ht="30" hidden="false" customHeight="true" outlineLevel="0" collapsed="false">
      <c r="A36" s="13" t="s">
        <v>70</v>
      </c>
      <c r="B36" s="13" t="s">
        <v>34</v>
      </c>
      <c r="C36" s="13" t="s">
        <v>30</v>
      </c>
    </row>
    <row r="37" customFormat="false" ht="15" hidden="false" customHeight="false" outlineLevel="0" collapsed="false">
      <c r="A37" s="6" t="s">
        <v>7</v>
      </c>
      <c r="B37" s="21" t="n">
        <f aca="false">C10</f>
        <v>4989</v>
      </c>
      <c r="C37" s="21" t="n">
        <f aca="false">C6</f>
        <v>4621</v>
      </c>
    </row>
    <row r="38" customFormat="false" ht="15" hidden="false" customHeight="false" outlineLevel="0" collapsed="false">
      <c r="A38" s="6" t="s">
        <v>71</v>
      </c>
      <c r="B38" s="22" t="n">
        <f aca="false">D10</f>
        <v>28686.75</v>
      </c>
      <c r="C38" s="22" t="n">
        <f aca="false">D6</f>
        <v>21949.75</v>
      </c>
    </row>
    <row r="39" customFormat="false" ht="15" hidden="false" customHeight="false" outlineLevel="0" collapsed="false">
      <c r="A39" s="6" t="s">
        <v>72</v>
      </c>
      <c r="B39" s="24" t="n">
        <f aca="false">F10</f>
        <v>74.4626865671642</v>
      </c>
      <c r="C39" s="24" t="n">
        <f aca="false">F6</f>
        <v>50.2282608695652</v>
      </c>
    </row>
    <row r="40" customFormat="false" ht="15" hidden="false" customHeight="false" outlineLevel="0" collapsed="false">
      <c r="A40" s="6" t="s">
        <v>73</v>
      </c>
      <c r="B40" s="25" t="n">
        <f aca="false">G10</f>
        <v>428.160447761194</v>
      </c>
      <c r="C40" s="25" t="n">
        <f aca="false">G6</f>
        <v>238.584239130435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2026-10-13T00:33:21Z</dcterms:created>
  <dc:creator>openpyxl</dc:creator>
  <dc:description/>
  <dc:language>en-US</dc:language>
  <cp:lastModifiedBy/>
  <dcterms:modified xsi:type="dcterms:W3CDTF">2026-10-12T20:33:25Z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